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_xlnm._FilterDatabase" localSheetId="0" hidden="1">Sheet1!$C$1:$C$298</definedName>
    <definedName name="_xlnm._FilterDatabase" localSheetId="1" hidden="1">Sheet2!#REF!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<sst xmlns="http://schemas.openxmlformats.org/spreadsheetml/2006/main" count="6927" uniqueCount="1427">
  <si>
    <t>序号</t>
  </si>
  <si>
    <t>学号</t>
  </si>
  <si>
    <t>姓名</t>
  </si>
  <si>
    <t>班级</t>
  </si>
  <si>
    <t>身份证件号</t>
  </si>
  <si>
    <t>个人电话</t>
  </si>
  <si>
    <t>父亲电话</t>
  </si>
  <si>
    <t>母亲电话</t>
  </si>
  <si>
    <t>性别</t>
  </si>
  <si>
    <t>原班级</t>
  </si>
  <si>
    <t>园区</t>
  </si>
  <si>
    <t>楼栋</t>
  </si>
  <si>
    <t>房间号</t>
  </si>
  <si>
    <t>入学年份</t>
  </si>
  <si>
    <t>民族</t>
  </si>
  <si>
    <t>籍贯</t>
  </si>
  <si>
    <t>政治面貌</t>
  </si>
  <si>
    <t>通讯地址</t>
  </si>
  <si>
    <t>邮政编码</t>
  </si>
  <si>
    <t>生源所在地</t>
  </si>
  <si>
    <t>家庭经济是否困难</t>
  </si>
  <si>
    <t>是否独生子女</t>
  </si>
  <si>
    <t>户口(城镇或农村)</t>
  </si>
  <si>
    <t>学生成长情况</t>
  </si>
  <si>
    <t>亲子关系</t>
  </si>
  <si>
    <t>父母婚姻</t>
  </si>
  <si>
    <t>学生心理疾病史</t>
  </si>
  <si>
    <t>学生身体疾病史</t>
  </si>
  <si>
    <t>家族病史</t>
  </si>
  <si>
    <t>特殊情况库</t>
  </si>
  <si>
    <t>困难等级</t>
  </si>
  <si>
    <t>开学至2025-12挂科未通过数目</t>
  </si>
  <si>
    <t>挂科科目</t>
  </si>
  <si>
    <t>陈敏华</t>
  </si>
  <si>
    <t>计科2201</t>
  </si>
  <si>
    <t>431024200511150042</t>
  </si>
  <si>
    <t>女</t>
  </si>
  <si>
    <t>计算机类2203</t>
  </si>
  <si>
    <t>东苑</t>
  </si>
  <si>
    <t>9栋</t>
  </si>
  <si>
    <t>9栋431</t>
  </si>
  <si>
    <t>汉族</t>
  </si>
  <si>
    <t>湖南郴州</t>
  </si>
  <si>
    <t>群众</t>
  </si>
  <si>
    <t>广东省东莞市企石镇新朗路十七号</t>
  </si>
  <si>
    <t>湖南省</t>
  </si>
  <si>
    <t>汉</t>
  </si>
  <si>
    <t>是</t>
  </si>
  <si>
    <t>否(2)</t>
  </si>
  <si>
    <t>农村</t>
  </si>
  <si>
    <t>父母抚养长大</t>
  </si>
  <si>
    <t>较好</t>
  </si>
  <si>
    <t>正常</t>
  </si>
  <si>
    <t>无心理疾病</t>
  </si>
  <si>
    <t>无疾病</t>
  </si>
  <si>
    <t>无家族疾病</t>
  </si>
  <si>
    <t>何向阳</t>
  </si>
  <si>
    <t>341602200411093514</t>
  </si>
  <si>
    <t>男</t>
  </si>
  <si>
    <t>西苑</t>
  </si>
  <si>
    <t>8栋</t>
  </si>
  <si>
    <t>8栋102</t>
  </si>
  <si>
    <t>安徽亳州</t>
  </si>
  <si>
    <t>共青团员</t>
  </si>
  <si>
    <t>安徽省亳州市建投世纪城27栋1703</t>
  </si>
  <si>
    <t>河北省</t>
  </si>
  <si>
    <t>否(4)</t>
  </si>
  <si>
    <t>很好</t>
  </si>
  <si>
    <t>何亚东</t>
  </si>
  <si>
    <t>500226200311221417</t>
  </si>
  <si>
    <t>8栋103</t>
  </si>
  <si>
    <t>四川仪陇</t>
  </si>
  <si>
    <t>重庆市九龙坡区迎宾大道35号3栋28-5</t>
  </si>
  <si>
    <t>重庆市</t>
  </si>
  <si>
    <t>否</t>
  </si>
  <si>
    <t>城镇</t>
  </si>
  <si>
    <t>林辉城</t>
  </si>
  <si>
    <t>350181200406071635</t>
  </si>
  <si>
    <t>xing19800223</t>
  </si>
  <si>
    <t>8栋104</t>
  </si>
  <si>
    <t>福建省福清市</t>
  </si>
  <si>
    <t>福建省福清市龙田镇玉瑶村化底103号-1</t>
  </si>
  <si>
    <t>福建省</t>
  </si>
  <si>
    <t>林思</t>
  </si>
  <si>
    <t>460200200402125731</t>
  </si>
  <si>
    <t>海南东方</t>
  </si>
  <si>
    <t>海南省三亚市吉阳区三亚星域一期六栋1308</t>
  </si>
  <si>
    <t>海南省</t>
  </si>
  <si>
    <t>否(1)</t>
  </si>
  <si>
    <t>刘亦菲</t>
  </si>
  <si>
    <t>430721200412220066</t>
  </si>
  <si>
    <t>9栋433</t>
  </si>
  <si>
    <t>湖南安乡</t>
  </si>
  <si>
    <t>湖南省常德市安乡县黄山头镇长山村</t>
  </si>
  <si>
    <t>屈正伟</t>
  </si>
  <si>
    <t>321023200401261217</t>
  </si>
  <si>
    <t>8栋106</t>
  </si>
  <si>
    <t>江苏宝应</t>
  </si>
  <si>
    <t>江苏省宝应县曹甸镇康庄村屈西组21号</t>
  </si>
  <si>
    <t>江苏省</t>
  </si>
  <si>
    <t>祖父母或外祖父母抚养长大</t>
  </si>
  <si>
    <t>离异</t>
  </si>
  <si>
    <t>孙喆琛</t>
  </si>
  <si>
    <t>43098120040430833X</t>
  </si>
  <si>
    <t>湖南益阳</t>
  </si>
  <si>
    <t>湖南省益阳市沅江市阳罗洲镇富强村八组</t>
  </si>
  <si>
    <t>其他(副舟骨突出)</t>
  </si>
  <si>
    <t>张仲麟</t>
  </si>
  <si>
    <t>430105200404177413</t>
  </si>
  <si>
    <t>8栋109</t>
  </si>
  <si>
    <t>湖南长沙</t>
  </si>
  <si>
    <t>湖南省长沙县北山镇福安村邓家湾组92号</t>
  </si>
  <si>
    <t>周晶玲</t>
  </si>
  <si>
    <t>431102200402070147</t>
  </si>
  <si>
    <t>9栋434</t>
  </si>
  <si>
    <t>湖南永州</t>
  </si>
  <si>
    <t>湖南省永州市零陵区朝阳办事处荷叶塘五组</t>
  </si>
  <si>
    <t>邹攀</t>
  </si>
  <si>
    <t>430426200404060176</t>
  </si>
  <si>
    <t>湖南祁东</t>
  </si>
  <si>
    <t>湖南省衡阳市祁东县洪桥镇桃源路27号</t>
  </si>
  <si>
    <t>李德军</t>
  </si>
  <si>
    <t>431025200402232053</t>
  </si>
  <si>
    <t>计算机类2204</t>
  </si>
  <si>
    <t>8栋112</t>
  </si>
  <si>
    <t>湖南省郴州市临武县南强镇田头村</t>
  </si>
  <si>
    <t>否(排行第三)</t>
  </si>
  <si>
    <t>万颖新</t>
  </si>
  <si>
    <t>430626200404300898</t>
  </si>
  <si>
    <t>8栋115</t>
  </si>
  <si>
    <t>湖南平江</t>
  </si>
  <si>
    <t>湖南省岳阳市平江县余坪乡万洞村烟竹组4号</t>
  </si>
  <si>
    <t>否(排行第二)</t>
  </si>
  <si>
    <t>吴雨欢</t>
  </si>
  <si>
    <t>430626200409020270</t>
  </si>
  <si>
    <t>湖南省岳阳市平江县城关镇城新村284号</t>
  </si>
  <si>
    <t>否(排行第一)</t>
  </si>
  <si>
    <t>徐萌昊</t>
  </si>
  <si>
    <t>430422200507260191</t>
  </si>
  <si>
    <t>8栋116</t>
  </si>
  <si>
    <t>湖南衡阳</t>
  </si>
  <si>
    <t>湖南衡阳蒸湘区解放西路307号</t>
  </si>
  <si>
    <t>赵观奥</t>
  </si>
  <si>
    <t>370282200408034219</t>
  </si>
  <si>
    <t>8栋117</t>
  </si>
  <si>
    <t>山东青岛</t>
  </si>
  <si>
    <t>山东省青岛市即墨区段泊岚镇栗林村269号</t>
  </si>
  <si>
    <t>山东省</t>
  </si>
  <si>
    <t>肠胃疾病</t>
  </si>
  <si>
    <t>陈振</t>
  </si>
  <si>
    <t>430923200408305730</t>
  </si>
  <si>
    <t>计算机类2205</t>
  </si>
  <si>
    <t>5栋</t>
  </si>
  <si>
    <t>5栋409</t>
  </si>
  <si>
    <t>湖南省益阳市安化县大福镇官仓村许家村民组13号</t>
  </si>
  <si>
    <t>蒋俊豪</t>
  </si>
  <si>
    <t>43070320040413005X</t>
  </si>
  <si>
    <t>5栋517</t>
  </si>
  <si>
    <t>湖南常德</t>
  </si>
  <si>
    <t>湖南常德市鼎城区红云街道</t>
  </si>
  <si>
    <t>单亲抚养长大</t>
  </si>
  <si>
    <t>凌成果</t>
  </si>
  <si>
    <t>430521200406259211</t>
  </si>
  <si>
    <t>5栋518</t>
  </si>
  <si>
    <t>湖南邵东</t>
  </si>
  <si>
    <t>湖南省邵东县砂石镇保和村尹家组20号</t>
  </si>
  <si>
    <t>其他(姑姑、祖母）</t>
  </si>
  <si>
    <t>刘宥均</t>
  </si>
  <si>
    <t>430523200409067613</t>
  </si>
  <si>
    <t>湖南邵阳县</t>
  </si>
  <si>
    <t>湖南省邵阳县九公桥桥东路186号附3号</t>
  </si>
  <si>
    <t>谭小斌</t>
  </si>
  <si>
    <t>362524200401074034</t>
  </si>
  <si>
    <t>5栋521</t>
  </si>
  <si>
    <t>江西抚州</t>
  </si>
  <si>
    <t>江西省抚州市南丰县桑田镇荷田岗村谭家组47号</t>
  </si>
  <si>
    <t>江西省</t>
  </si>
  <si>
    <t>田梅楠</t>
  </si>
  <si>
    <t>130181200404223614</t>
  </si>
  <si>
    <t>河北辛集</t>
  </si>
  <si>
    <t>河北省辛集市位伯镇镇头村镇头大街86号</t>
  </si>
  <si>
    <t>王驰宇</t>
  </si>
  <si>
    <t>431321200411080216</t>
  </si>
  <si>
    <t>湖南娄底</t>
  </si>
  <si>
    <t>湖南省长沙市雨花区红星嘉和苑二栋一单元302</t>
  </si>
  <si>
    <t>谢丽娟</t>
  </si>
  <si>
    <t>610726200309126747</t>
  </si>
  <si>
    <t>9栋437</t>
  </si>
  <si>
    <t>陕西汉中</t>
  </si>
  <si>
    <t>陕西省汉中市宁强县胡家坝镇石板沟村八组11号</t>
  </si>
  <si>
    <t>陕西省</t>
  </si>
  <si>
    <t>徐乐</t>
  </si>
  <si>
    <t>430521200406184950</t>
  </si>
  <si>
    <t>5栋523</t>
  </si>
  <si>
    <t>湖南邵阳</t>
  </si>
  <si>
    <t>云南省文山壮族苗族自治州文山市恒丰东苑5栋一单元502室</t>
  </si>
  <si>
    <t>云南省</t>
  </si>
  <si>
    <t>张钰琪</t>
  </si>
  <si>
    <t>411326200311090036</t>
  </si>
  <si>
    <t>5栋524</t>
  </si>
  <si>
    <t>河南南阳</t>
  </si>
  <si>
    <t>河南省南阳市淅川县一帆风顺对面</t>
  </si>
  <si>
    <t>河南省</t>
  </si>
  <si>
    <t>傅嘉豪</t>
  </si>
  <si>
    <t>430981200411067212</t>
  </si>
  <si>
    <t>计算机类2209</t>
  </si>
  <si>
    <t>4栋</t>
  </si>
  <si>
    <t>4栋537</t>
  </si>
  <si>
    <t>湖南省沅江市</t>
  </si>
  <si>
    <t>湖南省沅江市新和社区19栋301</t>
  </si>
  <si>
    <t>胡天伊</t>
  </si>
  <si>
    <t>430121200409270422</t>
  </si>
  <si>
    <t>9栋506</t>
  </si>
  <si>
    <t>湖南省长沙市</t>
  </si>
  <si>
    <t>湖南省长沙市雨花区长沙大道阳光城尚东湾</t>
  </si>
  <si>
    <t>黄佳音</t>
  </si>
  <si>
    <t>411327200407213543</t>
  </si>
  <si>
    <t>河南省社旗县</t>
  </si>
  <si>
    <t>河南省南阳市社旗县苗店镇老沟刘村寨子湾7号</t>
  </si>
  <si>
    <t>匡增飞</t>
  </si>
  <si>
    <t>430426200508300031</t>
  </si>
  <si>
    <t>4栋605</t>
  </si>
  <si>
    <t>湖南省祁东县</t>
  </si>
  <si>
    <t>湖南省衡阳市祁东县祖山湾村29组</t>
  </si>
  <si>
    <t>田殿宇</t>
  </si>
  <si>
    <t>130581200404106831</t>
  </si>
  <si>
    <t>4栋614</t>
  </si>
  <si>
    <t>河北省南宫市</t>
  </si>
  <si>
    <t>河北省邢台市南宫市紫冢镇西王门庄78号</t>
  </si>
  <si>
    <t>王世祺</t>
  </si>
  <si>
    <t>410105200301100153</t>
  </si>
  <si>
    <t>河南省郑州市</t>
  </si>
  <si>
    <t>河南省郑州市中原区西站东街三号院月季家园一号楼二单元1901</t>
  </si>
  <si>
    <t>温俊豪</t>
  </si>
  <si>
    <t>360732200404133318</t>
  </si>
  <si>
    <t>江西省赣州市兴国县</t>
  </si>
  <si>
    <t>江西省赣州市兴国县永丰乡蕉溪村合里口组10号</t>
  </si>
  <si>
    <t>杨梦娆</t>
  </si>
  <si>
    <t>429001200407265449</t>
  </si>
  <si>
    <t>无</t>
  </si>
  <si>
    <t>9栋508</t>
  </si>
  <si>
    <t>湖北随州</t>
  </si>
  <si>
    <t>湖北省随州市随县万和镇新城宗湾村二组04012</t>
  </si>
  <si>
    <t>湖北省</t>
  </si>
  <si>
    <t>目前挂科4门</t>
  </si>
  <si>
    <t>杨勇</t>
  </si>
  <si>
    <t>430522200306107831</t>
  </si>
  <si>
    <t>4栋619</t>
  </si>
  <si>
    <t>湖南省邵阳市新邵县陈家坊镇江村2组40号</t>
  </si>
  <si>
    <t>目前挂科6门</t>
  </si>
  <si>
    <t>方登科</t>
  </si>
  <si>
    <t>计科2202</t>
  </si>
  <si>
    <t>430602200311257439</t>
  </si>
  <si>
    <t>计算机类2206</t>
  </si>
  <si>
    <t>4栋102</t>
  </si>
  <si>
    <t>湖南岳阳</t>
  </si>
  <si>
    <t>湖南省岳阳市岳阳楼区郭镇乡</t>
  </si>
  <si>
    <t>否(一)</t>
  </si>
  <si>
    <t>李子扬</t>
  </si>
  <si>
    <t>360502200403164017</t>
  </si>
  <si>
    <t>4栋135</t>
  </si>
  <si>
    <t>江西新余</t>
  </si>
  <si>
    <t>福建省泉州市石狮市湖滨镇长福社区高新路93号怡家公寓706室</t>
  </si>
  <si>
    <t>刘高远</t>
  </si>
  <si>
    <t>43052120050603567X</t>
  </si>
  <si>
    <t>湖南省邵东市简家陇镇愚公村洞冲屋组13号</t>
  </si>
  <si>
    <t>否(二）</t>
  </si>
  <si>
    <t>刘宇</t>
  </si>
  <si>
    <t>430522200410030010</t>
  </si>
  <si>
    <t>湖南省邵阳市新邵县酿溪镇会公坪村1组55号</t>
  </si>
  <si>
    <t>欧阳旭</t>
  </si>
  <si>
    <t>431021200503274011</t>
  </si>
  <si>
    <t>4栋136</t>
  </si>
  <si>
    <t>湖南省郴州市桂阳县东风小学</t>
  </si>
  <si>
    <t>鼻炎</t>
  </si>
  <si>
    <t>沈云</t>
  </si>
  <si>
    <t>431081200405280510</t>
  </si>
  <si>
    <t>湖南省郴州市资兴市东江街道迎宾路1号</t>
  </si>
  <si>
    <t>许宗畅</t>
  </si>
  <si>
    <t>430405200408210010</t>
  </si>
  <si>
    <t>4栋227</t>
  </si>
  <si>
    <t>湖南省衡阳市珠晖区和平乡湖东村水闸组28号</t>
  </si>
  <si>
    <t>张仕轲</t>
  </si>
  <si>
    <t>130185200405044015</t>
  </si>
  <si>
    <t>河北石家庄</t>
  </si>
  <si>
    <t>河北省石家庄市鹿泉区大河镇霍寨村兴农里福禄里2号</t>
  </si>
  <si>
    <t>赵梓翔</t>
  </si>
  <si>
    <t>431281200312210039</t>
  </si>
  <si>
    <t>4栋327</t>
  </si>
  <si>
    <t>湖南怀化</t>
  </si>
  <si>
    <t>湖南省怀化市洪江市安江镇建国路13组</t>
  </si>
  <si>
    <t>否(二)</t>
  </si>
  <si>
    <t>周宇</t>
  </si>
  <si>
    <t>430922200502194612</t>
  </si>
  <si>
    <t>湖南省益阳市桃江县武潭镇莲花坪村胡家村组</t>
  </si>
  <si>
    <t>曾义</t>
  </si>
  <si>
    <t>430224200402057551</t>
  </si>
  <si>
    <t>计算机类2207</t>
  </si>
  <si>
    <t>4栋515</t>
  </si>
  <si>
    <t>湖南株洲茶陵</t>
  </si>
  <si>
    <t>湖南省株洲市茶陵县虎踞镇河东村堪下组073号</t>
  </si>
  <si>
    <t>陈文杰</t>
  </si>
  <si>
    <t>331082200408241878</t>
  </si>
  <si>
    <t>浙江省临海市</t>
  </si>
  <si>
    <t>湖南省常德市武陵区丹霞苑一期一单元2002</t>
  </si>
  <si>
    <t>目前挂科3门</t>
  </si>
  <si>
    <t>何俊宏</t>
  </si>
  <si>
    <t>430105200404166116</t>
  </si>
  <si>
    <t>4栋516</t>
  </si>
  <si>
    <t>湖南省长沙市开福区青竹湖街道天胜社区文庭雅苑6栋</t>
  </si>
  <si>
    <t>康佳霓</t>
  </si>
  <si>
    <t>130534200504226924</t>
  </si>
  <si>
    <t>9栋502</t>
  </si>
  <si>
    <t>河北省邢台市清河县</t>
  </si>
  <si>
    <t>河北省邢台市清河县8号楼4单元601</t>
  </si>
  <si>
    <t>李梓璇</t>
  </si>
  <si>
    <t>430903200409082123</t>
  </si>
  <si>
    <t>湖南省益阳市市辖区</t>
  </si>
  <si>
    <t>湖南省益阳市赫山区泥江口镇</t>
  </si>
  <si>
    <t>刘纪宏</t>
  </si>
  <si>
    <t>500224200408034615</t>
  </si>
  <si>
    <t>4栋520</t>
  </si>
  <si>
    <t>重庆铜梁</t>
  </si>
  <si>
    <t>重庆市铜梁区石鱼镇长乐村四组16号</t>
  </si>
  <si>
    <t>罗鹏程</t>
  </si>
  <si>
    <t>43072420031230363X</t>
  </si>
  <si>
    <t>4栋523</t>
  </si>
  <si>
    <t>湖南临澧</t>
  </si>
  <si>
    <t>湖南省常德市临澧县承凰建筑劳务分包有限公司</t>
  </si>
  <si>
    <t>马玉凤</t>
  </si>
  <si>
    <t>654121200404223728</t>
  </si>
  <si>
    <t>甘肃省</t>
  </si>
  <si>
    <t>新疆维吾尔自治区伊犁霍城县惠远镇老城村七区幸福西路北一巷009号</t>
  </si>
  <si>
    <t>新疆维吾尔自治区</t>
  </si>
  <si>
    <t>彭晨曦</t>
  </si>
  <si>
    <t>430421200406150181</t>
  </si>
  <si>
    <t>湖南省衡阳市
雁峰区徐家井小区14栋503</t>
  </si>
  <si>
    <t>肖昌</t>
  </si>
  <si>
    <t>431321200410240070</t>
  </si>
  <si>
    <t>4栋529</t>
  </si>
  <si>
    <t>湖南省双峰县</t>
  </si>
  <si>
    <t>湖南省娄底市双峰县永丰街道办事处寨子山村四合组</t>
  </si>
  <si>
    <t>杨静雯</t>
  </si>
  <si>
    <t>430725200310240061</t>
  </si>
  <si>
    <t>9栋503</t>
  </si>
  <si>
    <t>湖南省常德市桃源县龙潭镇</t>
  </si>
  <si>
    <t>张意</t>
  </si>
  <si>
    <t>431223200409260354</t>
  </si>
  <si>
    <t>4栋532</t>
  </si>
  <si>
    <t>湖南省怀化市辰溪县龙泉岩乡龙泉岩村二十二组</t>
  </si>
  <si>
    <t>周远哲</t>
  </si>
  <si>
    <t>430681200407210139</t>
  </si>
  <si>
    <t>4栋533</t>
  </si>
  <si>
    <t>湖南省岳阳市汨罗市长乐镇长乐村十三组</t>
  </si>
  <si>
    <t>邓湘阳</t>
  </si>
  <si>
    <t>43018120041019331X</t>
  </si>
  <si>
    <t>计算机类2208</t>
  </si>
  <si>
    <t>5栋103</t>
  </si>
  <si>
    <t>湖南浏阳</t>
  </si>
  <si>
    <t>湖南省浏阳市洞阳镇九溪洞村岩前组148号</t>
  </si>
  <si>
    <t>韩轲</t>
  </si>
  <si>
    <t>513122200308110613</t>
  </si>
  <si>
    <t>四川雅安</t>
  </si>
  <si>
    <t>四川省雅安市名山区蒙阳镇蒙茶街24号</t>
  </si>
  <si>
    <t>四川省</t>
  </si>
  <si>
    <t>何顺祥</t>
  </si>
  <si>
    <t>430382200501240019</t>
  </si>
  <si>
    <t>湖南湘潭</t>
  </si>
  <si>
    <t>湖南省湘潭市韶山市清溪镇新天小区B1栋5402</t>
  </si>
  <si>
    <t>李柏</t>
  </si>
  <si>
    <t>532526200401022618</t>
  </si>
  <si>
    <t>5栋110</t>
  </si>
  <si>
    <t>云南弥勒</t>
  </si>
  <si>
    <t>云南省红河州弥勒市西三镇花口村</t>
  </si>
  <si>
    <t>李文涛</t>
  </si>
  <si>
    <t>430602200405110155</t>
  </si>
  <si>
    <t>5栋222</t>
  </si>
  <si>
    <t>湖南省岳阳市岳阳楼区郭镇乡枣树村中心组</t>
  </si>
  <si>
    <t>刘孟</t>
  </si>
  <si>
    <t>430521200410131499</t>
  </si>
  <si>
    <t>湖南省邵阳市邵东市牛马司镇封江渡村20组17号</t>
  </si>
  <si>
    <t>刘祖池</t>
  </si>
  <si>
    <t>430581200403181814</t>
  </si>
  <si>
    <t xml:space="preserve">18390435762
</t>
  </si>
  <si>
    <t>5栋308</t>
  </si>
  <si>
    <t>湖南省邵阳市武冈市龙溪镇大塘村1组33号</t>
  </si>
  <si>
    <t>彭佳怡</t>
  </si>
  <si>
    <t>430124200409197762</t>
  </si>
  <si>
    <t>9栋504</t>
  </si>
  <si>
    <t>湖南省长沙市宁乡市金洲镇金洲新城五栋二单元八楼</t>
  </si>
  <si>
    <t>彭家敏</t>
  </si>
  <si>
    <t>431126200312280053</t>
  </si>
  <si>
    <t>湖南省永州市宁远县九嶷山瑶族乡九嶷山村6组</t>
  </si>
  <si>
    <t>彭忠申</t>
  </si>
  <si>
    <t>36073220040724411X</t>
  </si>
  <si>
    <t>5栋309</t>
  </si>
  <si>
    <t>江西赣州</t>
  </si>
  <si>
    <t>江西省赣州市兴国县高兴镇樟坑村下汶组23号</t>
  </si>
  <si>
    <t>丧偶</t>
  </si>
  <si>
    <t>王啸业</t>
  </si>
  <si>
    <t>622301200405139171</t>
  </si>
  <si>
    <t>甘肃省武威市</t>
  </si>
  <si>
    <t>甘肃省武威市凉州区发放镇王家墩村七组32号</t>
  </si>
  <si>
    <t>肖海珠</t>
  </si>
  <si>
    <t>430524200409212979</t>
  </si>
  <si>
    <t>5栋314</t>
  </si>
  <si>
    <t>湖南省邵阳市隆回县羊古坳镇锣鼓石村6组10号</t>
  </si>
  <si>
    <t>杨锦垣</t>
  </si>
  <si>
    <t>430725200310294879</t>
  </si>
  <si>
    <t>湖南省常德市</t>
  </si>
  <si>
    <t>湖南省常德市桃源县龙潭镇枣儿垭村3组</t>
  </si>
  <si>
    <t>余采蓉</t>
  </si>
  <si>
    <t>430724200403180022</t>
  </si>
  <si>
    <t>湖南省临澧县</t>
  </si>
  <si>
    <t>湖南省临澧县安福路家旺生活超市</t>
  </si>
  <si>
    <t>赵璞</t>
  </si>
  <si>
    <t>640381200404020017</t>
  </si>
  <si>
    <t>5栋319</t>
  </si>
  <si>
    <t>宁夏</t>
  </si>
  <si>
    <t>宁夏吴忠青铜峡康乐二区九号楼三单元202</t>
  </si>
  <si>
    <t>宁夏回族自治区</t>
  </si>
  <si>
    <t>目前挂科9门</t>
  </si>
  <si>
    <t>比拉力江·阿布力孜</t>
  </si>
  <si>
    <t>计科2203</t>
  </si>
  <si>
    <t>653226200203173214</t>
  </si>
  <si>
    <t>计算机类2201</t>
  </si>
  <si>
    <t>4栋329</t>
  </si>
  <si>
    <t>维吾尔族</t>
  </si>
  <si>
    <t>新疆于田县</t>
  </si>
  <si>
    <t>新疆和田地区于田县奥依托格拉克乡阿甫塔甫勒克库勒村24号</t>
  </si>
  <si>
    <t>新疆</t>
  </si>
  <si>
    <t>否(第三)</t>
  </si>
  <si>
    <t>蔡盛</t>
  </si>
  <si>
    <t>430822200309043710</t>
  </si>
  <si>
    <t>土家族</t>
  </si>
  <si>
    <t>湖南省张家界市</t>
  </si>
  <si>
    <t>湖南省张家界市桑植县竹叶坪乡强盛驿家</t>
  </si>
  <si>
    <t>否(第二)</t>
  </si>
  <si>
    <t>于潇天</t>
  </si>
  <si>
    <t>430821200308296816</t>
  </si>
  <si>
    <t>湖南张家界</t>
  </si>
  <si>
    <t>湖南省张家界市界河村十组</t>
  </si>
  <si>
    <t>否(第一）</t>
  </si>
  <si>
    <t>安孜尔江·吾买尔江</t>
  </si>
  <si>
    <t>653201200108131019</t>
  </si>
  <si>
    <t>新疆和田</t>
  </si>
  <si>
    <t>新疆维吾尔自治区和田地区和田市肖尔巴格乡幸福街18号B5栋2单元</t>
  </si>
  <si>
    <t>否(第二）</t>
  </si>
  <si>
    <t>范怡</t>
  </si>
  <si>
    <t>532524200208041523</t>
  </si>
  <si>
    <t>9栋424</t>
  </si>
  <si>
    <t>彝族</t>
  </si>
  <si>
    <t>云南省红河哈尼族彝族自治州</t>
  </si>
  <si>
    <t>云南省红河哈尼族彝族自治州建水县曲江镇柏枝树村25号</t>
  </si>
  <si>
    <t>关祥冬</t>
  </si>
  <si>
    <t>620102200201154314</t>
  </si>
  <si>
    <t>4栋332</t>
  </si>
  <si>
    <t>满族</t>
  </si>
  <si>
    <t>辽宁省瓦房店市</t>
  </si>
  <si>
    <t>甘肃省兰州市城关区火车站街道红山根东路374-472</t>
  </si>
  <si>
    <t>目前挂科3门.目前在2级库</t>
  </si>
  <si>
    <t>黎恩泽</t>
  </si>
  <si>
    <t>450103200309083014</t>
  </si>
  <si>
    <t>壮族</t>
  </si>
  <si>
    <t>广西南宁</t>
  </si>
  <si>
    <t>广西壮族自治区南宁市青秀区滨湖路80号住宅区</t>
  </si>
  <si>
    <t>广西</t>
  </si>
  <si>
    <t>刘力贤</t>
  </si>
  <si>
    <t>42280220010809177X</t>
  </si>
  <si>
    <t>湖北利川</t>
  </si>
  <si>
    <t>湖北省利川市团堡镇培风大道273号</t>
  </si>
  <si>
    <t>田瑾</t>
  </si>
  <si>
    <t>422827200309260928</t>
  </si>
  <si>
    <t>湖北恩施</t>
  </si>
  <si>
    <t>湖南省恩施州来凤县翔凤镇凤北佳苑4单元502</t>
  </si>
  <si>
    <t>王炫烨</t>
  </si>
  <si>
    <t>430822200405106312</t>
  </si>
  <si>
    <t>湖南省张家界市桑植县永和家园36-2-4b</t>
  </si>
  <si>
    <t>否(第一)</t>
  </si>
  <si>
    <t>肝肾疾病</t>
  </si>
  <si>
    <t>杨玉华</t>
  </si>
  <si>
    <t>431129200210052614</t>
  </si>
  <si>
    <t>瑶族</t>
  </si>
  <si>
    <t>湖南省永州市江华瑶族自治县大路铺镇大路铺村41号</t>
  </si>
  <si>
    <t>黄依丹</t>
  </si>
  <si>
    <t>43052720030712634X</t>
  </si>
  <si>
    <t>9栋425</t>
  </si>
  <si>
    <t>苗族</t>
  </si>
  <si>
    <t>湖南省邵阳市绥宁县瓦屋塘镇白家坊村五组</t>
  </si>
  <si>
    <t>李行</t>
  </si>
  <si>
    <t>530112200211022527</t>
  </si>
  <si>
    <t>白族</t>
  </si>
  <si>
    <t>云南昆明</t>
  </si>
  <si>
    <t>云南省昆明市五华区西翥街道办沙朗大村</t>
  </si>
  <si>
    <t>欧永京</t>
  </si>
  <si>
    <t>431129200306105231</t>
  </si>
  <si>
    <t>湖南省永州市江华瑶族自治县河路口镇尖山社区142号</t>
  </si>
  <si>
    <t>田青青</t>
  </si>
  <si>
    <t>433130200305053166</t>
  </si>
  <si>
    <t>湖南龙山县</t>
  </si>
  <si>
    <t>湖南省龙山县民安街道老城社区供销之家B栋二单元002</t>
  </si>
  <si>
    <t>杨桐</t>
  </si>
  <si>
    <t>433123200104101228</t>
  </si>
  <si>
    <t>湖南省湘西州</t>
  </si>
  <si>
    <t>湖南省湘西自治州凤凰县城北现代城D09栋1003</t>
  </si>
  <si>
    <t>张家仪</t>
  </si>
  <si>
    <t>430681200405130020</t>
  </si>
  <si>
    <t>湖南省汨罗市天惠家园301</t>
  </si>
  <si>
    <t>周娜</t>
  </si>
  <si>
    <t>640181200306010025</t>
  </si>
  <si>
    <t>9栋426</t>
  </si>
  <si>
    <t>回族</t>
  </si>
  <si>
    <t>宁夏银川市</t>
  </si>
  <si>
    <t>宁夏回族自治区银川市灵武市尚景名苑21-1-101</t>
  </si>
  <si>
    <t>邹惠</t>
  </si>
  <si>
    <t>522228200310050829</t>
  </si>
  <si>
    <t>贵州铜仁</t>
  </si>
  <si>
    <t>贵州省铜仁市沿河县沙子街道龙头村双树平组</t>
  </si>
  <si>
    <t>贵州省</t>
  </si>
  <si>
    <t>陈微</t>
  </si>
  <si>
    <t>433125200110283921</t>
  </si>
  <si>
    <t>湖南省保靖县</t>
  </si>
  <si>
    <t>湖南省保靖县迁陵镇锦绣名城35栋601</t>
  </si>
  <si>
    <t>刘华霖</t>
  </si>
  <si>
    <t>430503200303121524</t>
  </si>
  <si>
    <t>湖南省张家界市武陵源区锣鼓塔街道新屋组107</t>
  </si>
  <si>
    <t>杨峻浩</t>
  </si>
  <si>
    <t>431125200211080056</t>
  </si>
  <si>
    <t>4栋337</t>
  </si>
  <si>
    <t>湖南省永州市江永县潇浦镇电影公司f栋五号</t>
  </si>
  <si>
    <t>杨泰</t>
  </si>
  <si>
    <t>430525200309181913</t>
  </si>
  <si>
    <t>湖南省邵阳市洞口县罗溪瑶族乡罗溪村安寨组9号</t>
  </si>
  <si>
    <t>杨旭</t>
  </si>
  <si>
    <t>433122200307308572</t>
  </si>
  <si>
    <t>湖南省湘西州兴隆场镇下广村二组</t>
  </si>
  <si>
    <t>姚祖杰</t>
  </si>
  <si>
    <t>433130200304218192</t>
  </si>
  <si>
    <t>湖南省湘西州龙山县民安街道王府井小区3栋407号</t>
  </si>
  <si>
    <t>何鹏</t>
  </si>
  <si>
    <t>431228200109262819</t>
  </si>
  <si>
    <t>4栋338</t>
  </si>
  <si>
    <t>侗族</t>
  </si>
  <si>
    <t>湖南省怀化市芷江侗族自治县和平新村六栋四单元</t>
  </si>
  <si>
    <t>何子睿</t>
  </si>
  <si>
    <t>640382200101103735</t>
  </si>
  <si>
    <t>宁夏银川</t>
  </si>
  <si>
    <t>宁夏回族自治区银川市灵武市木华苑2号楼二单元601</t>
  </si>
  <si>
    <t>唐安华</t>
  </si>
  <si>
    <t>431129200305162015</t>
  </si>
  <si>
    <t>湖南省永州市江华瑶族自治县翠华路101号</t>
  </si>
  <si>
    <t>杨雯</t>
  </si>
  <si>
    <t>61252620020802358X</t>
  </si>
  <si>
    <t>9栋427</t>
  </si>
  <si>
    <t>陕西省商洛市</t>
  </si>
  <si>
    <t>陕西省西安市未央区东风路一号华宇陶苑居一栋1303</t>
  </si>
  <si>
    <t>邓璐</t>
  </si>
  <si>
    <t>530111200211132324</t>
  </si>
  <si>
    <t>云南省昆明市</t>
  </si>
  <si>
    <t>云南省昆明市盘龙区拓东街道人民东路289号</t>
  </si>
  <si>
    <t>胡焱夫</t>
  </si>
  <si>
    <t>433125200309020010</t>
  </si>
  <si>
    <t>湖南省湘西土家族苗族自治州保靖县</t>
  </si>
  <si>
    <t>湖南省湘西土家族苗族自治州吉首市武陵富华小区1401</t>
  </si>
  <si>
    <t>黄敏</t>
  </si>
  <si>
    <t>430822200309187116</t>
  </si>
  <si>
    <t>4栋339</t>
  </si>
  <si>
    <t>湖南省张家界市桑植县凉水口镇尧儿坪村三组</t>
  </si>
  <si>
    <t>彭寒杏</t>
  </si>
  <si>
    <t>433125200212210942</t>
  </si>
  <si>
    <t>湖南省湘西土家族苗族自治州</t>
  </si>
  <si>
    <t>湖南省湘西土家族苗族自治州保靖县中意楼</t>
  </si>
  <si>
    <t>杨欢</t>
  </si>
  <si>
    <t>430529200211227034</t>
  </si>
  <si>
    <t>湖南省邵阳市城步苗族自治县五团镇蜡里村一组26号</t>
  </si>
  <si>
    <t>杨洋</t>
  </si>
  <si>
    <t>430528200304010081</t>
  </si>
  <si>
    <t>湖南省邵阳市</t>
  </si>
  <si>
    <t>湖南省邵阳市新宁县金石镇解放北路金牧大厦83号富鹿园副食店</t>
  </si>
  <si>
    <t>冯玲</t>
  </si>
  <si>
    <t>430821200210166546</t>
  </si>
  <si>
    <t>9栋428</t>
  </si>
  <si>
    <t>湖南省张家界市慈利县高峰土家族乡高峰村6组005号</t>
  </si>
  <si>
    <t>黄历</t>
  </si>
  <si>
    <t>422801200307134019</t>
  </si>
  <si>
    <t>湖北省恩施土家族苗族自治州恩施市新塘乡双河镇</t>
  </si>
  <si>
    <t>肺部疾病</t>
  </si>
  <si>
    <t>怕热合·尼亚孜</t>
  </si>
  <si>
    <t>652923200308310025</t>
  </si>
  <si>
    <t>新疆库车市</t>
  </si>
  <si>
    <t>新疆维吾尔自治区阿克苏地区库车市黄河路五号小区10栋一单元502室</t>
  </si>
  <si>
    <t>胡怡琪</t>
  </si>
  <si>
    <t>430802200401030028</t>
  </si>
  <si>
    <t>湖南省张家界市永定区御花园小区1期4栋1504</t>
  </si>
  <si>
    <t>麻馨语</t>
  </si>
  <si>
    <t>43312320020604392X</t>
  </si>
  <si>
    <t>湖南湘西</t>
  </si>
  <si>
    <t>湖南省湘西州凤凰县廖家桥镇政府对面</t>
  </si>
  <si>
    <t>聂瑶</t>
  </si>
  <si>
    <t>431226200306012568</t>
  </si>
  <si>
    <t>9栋429</t>
  </si>
  <si>
    <t>湖南省怀化市麻阳苗族自治县锦江新城二区102</t>
  </si>
  <si>
    <t>吴正乔</t>
  </si>
  <si>
    <t>522631200111077113</t>
  </si>
  <si>
    <t>贵州黎平</t>
  </si>
  <si>
    <t>贵州省黔东南州黎平县地坪镇井郎村五组</t>
  </si>
  <si>
    <t>蔡民望</t>
  </si>
  <si>
    <t>网络工程2201</t>
  </si>
  <si>
    <t>431322200409200019</t>
  </si>
  <si>
    <t>8栋101</t>
  </si>
  <si>
    <t>湖南省娄底市新化县枫林村枫林街道</t>
  </si>
  <si>
    <t>否(3)</t>
  </si>
  <si>
    <t>一般</t>
  </si>
  <si>
    <t>陈泽霖</t>
  </si>
  <si>
    <t>430722200406160091</t>
  </si>
  <si>
    <t>湖南省常德市汉寿县丰家铺镇龙津社区荷花组</t>
  </si>
  <si>
    <t>郭子纲</t>
  </si>
  <si>
    <t>430321200406160034</t>
  </si>
  <si>
    <t>陕西西安</t>
  </si>
  <si>
    <t>陕西省西安市新城区黄河住宅东区224</t>
  </si>
  <si>
    <t>胡雨蒙</t>
  </si>
  <si>
    <t>430621200502150166</t>
  </si>
  <si>
    <t>湖南省岳阳市经济技术开发区通海路管理处 青年东路八字门小区5栋3单元406</t>
  </si>
  <si>
    <t>江鑫</t>
  </si>
  <si>
    <t>330881200405293919</t>
  </si>
  <si>
    <t>浙江江山</t>
  </si>
  <si>
    <t>湖南省株洲市茶陵县湖口镇浣溪村江家里043号</t>
  </si>
  <si>
    <t>龙晓哲</t>
  </si>
  <si>
    <t>430321200411110197</t>
  </si>
  <si>
    <t>8栋105</t>
  </si>
  <si>
    <t>湖南省湘潭市湘潭县谭家山镇长岭铺村庙咀组</t>
  </si>
  <si>
    <t>饶林青</t>
  </si>
  <si>
    <t>430726200412090187</t>
  </si>
  <si>
    <t>湖南省常德市石门县碧岩新村8栋</t>
  </si>
  <si>
    <t>谢天翔</t>
  </si>
  <si>
    <t>431322200411050072</t>
  </si>
  <si>
    <t>8栋108</t>
  </si>
  <si>
    <t>湖南新化</t>
  </si>
  <si>
    <t>湖南省娄底市新化县槎溪镇朝阳村二房院子5组</t>
  </si>
  <si>
    <t>杨志超</t>
  </si>
  <si>
    <t>431126200411114739</t>
  </si>
  <si>
    <t>湖南省永州市宁远县鲤溪镇三元岭村5组</t>
  </si>
  <si>
    <t>岳诗琪</t>
  </si>
  <si>
    <t>510823200407263481</t>
  </si>
  <si>
    <t>四川广元</t>
  </si>
  <si>
    <t>四川省广元市剑阁县国光乡三组</t>
  </si>
  <si>
    <t>廖守政</t>
  </si>
  <si>
    <t>431127200410030134</t>
  </si>
  <si>
    <t>8栋113</t>
  </si>
  <si>
    <t>湖南省永州市蓝山县高陆村六组</t>
  </si>
  <si>
    <t>龙新民</t>
  </si>
  <si>
    <t>431226200404110014</t>
  </si>
  <si>
    <t>湖南省麻阳苗族自治县高村镇兴隆社区友谊路北二巷030号</t>
  </si>
  <si>
    <t>苗</t>
  </si>
  <si>
    <t>卢佳乐</t>
  </si>
  <si>
    <t>362202200408014419</t>
  </si>
  <si>
    <t>8栋114</t>
  </si>
  <si>
    <t>江西宜春</t>
  </si>
  <si>
    <t>江西省宜春市丰城市袁渡镇岩上村委会巷里组</t>
  </si>
  <si>
    <t>欧阳冬冬</t>
  </si>
  <si>
    <t>431021200407241519</t>
  </si>
  <si>
    <t>湖南省郴州市桂阳县八字塘社区园艺小区7排4栋</t>
  </si>
  <si>
    <t>谭菊安</t>
  </si>
  <si>
    <t>431382200311071235</t>
  </si>
  <si>
    <t>湖南省娄底市涟源市蓝田街道办事处光明山社区居委会10组</t>
  </si>
  <si>
    <t>尹健</t>
  </si>
  <si>
    <t>520203200312104051</t>
  </si>
  <si>
    <t>贵州省六盘水</t>
  </si>
  <si>
    <t>贵州省六盘水市六枝特区新场乡黑塘村丫口上组</t>
  </si>
  <si>
    <t>赵科宇</t>
  </si>
  <si>
    <t>430521200310160110</t>
  </si>
  <si>
    <t>湖南省邵阳市邵东县砂石镇兆佳村</t>
  </si>
  <si>
    <t>曾经或现在因心理疾病服药治疗</t>
  </si>
  <si>
    <t>左眼失明</t>
  </si>
  <si>
    <t>一级库</t>
  </si>
  <si>
    <t>李海鑫</t>
  </si>
  <si>
    <t>360424200403282155</t>
  </si>
  <si>
    <t>江西九江</t>
  </si>
  <si>
    <t>江西省九江市修水县渣津镇司前村15组</t>
  </si>
  <si>
    <t>其他(胃病)</t>
  </si>
  <si>
    <t>罗礼涛</t>
  </si>
  <si>
    <t>431321200306054753</t>
  </si>
  <si>
    <t>5栋519</t>
  </si>
  <si>
    <t>湖南双峰县</t>
  </si>
  <si>
    <t>湖南省双峰县石牛乡合源村新开组</t>
  </si>
  <si>
    <t>苗娜</t>
  </si>
  <si>
    <t>530423200211300342</t>
  </si>
  <si>
    <t>云南玉溪</t>
  </si>
  <si>
    <t>云南省玉溪市通海县四街镇十街村二组14号</t>
  </si>
  <si>
    <t>王皓然</t>
  </si>
  <si>
    <t>341225200303268930</t>
  </si>
  <si>
    <t>5栋522</t>
  </si>
  <si>
    <t>安徽阜南</t>
  </si>
  <si>
    <t>安徽省阜南县经济开发区后府路3号中央豪景，2栋1单元801</t>
  </si>
  <si>
    <t>安徽省</t>
  </si>
  <si>
    <t>王林琛</t>
  </si>
  <si>
    <t>430422200410010436</t>
  </si>
  <si>
    <t>乌鲁木齐市水磨沟区长青四队新星花园小区3-1-501</t>
  </si>
  <si>
    <t>左健</t>
  </si>
  <si>
    <t>430527200505045153</t>
  </si>
  <si>
    <t>湖南省邵阳市绥宁县红岩镇巷子村2组</t>
  </si>
  <si>
    <t>陈冠杰</t>
  </si>
  <si>
    <t>431121200501240219</t>
  </si>
  <si>
    <t>湖南省祁阳市</t>
  </si>
  <si>
    <t>湖南省祁阳县潘市镇新屋村五组</t>
  </si>
  <si>
    <t>陈嘉慧</t>
  </si>
  <si>
    <t>430224200410150246</t>
  </si>
  <si>
    <t>湖南省茶陵县</t>
  </si>
  <si>
    <t>湖南省株洲市茶陵县舲舫乡大岳村黄泥坳上046号</t>
  </si>
  <si>
    <t>目前挂科8门</t>
  </si>
  <si>
    <t>陈利明</t>
  </si>
  <si>
    <t>452402200401273939</t>
  </si>
  <si>
    <t>广西贺州</t>
  </si>
  <si>
    <t>广西贺州市平桂区羊角山鹅塘路口</t>
  </si>
  <si>
    <t>广西壮族自治区</t>
  </si>
  <si>
    <t>邓志伟</t>
  </si>
  <si>
    <t>43112120050202733X</t>
  </si>
  <si>
    <t>湖南省永州市</t>
  </si>
  <si>
    <t>湖南省永州市祁阳市凤凰乡花筵村2组61号</t>
  </si>
  <si>
    <t>刘思瑶</t>
  </si>
  <si>
    <t>430481200402220222</t>
  </si>
  <si>
    <t>9栋507</t>
  </si>
  <si>
    <t>湖南省耒阳市</t>
  </si>
  <si>
    <t>湖南省耒阳市三架街道办事处青麓18组</t>
  </si>
  <si>
    <t>马晓轩</t>
  </si>
  <si>
    <t>654021200412062762</t>
  </si>
  <si>
    <t>新疆乌苏</t>
  </si>
  <si>
    <t>新疆伊宁县愉群翁回族乡伊克温村团结路五巷四号</t>
  </si>
  <si>
    <t>回</t>
  </si>
  <si>
    <t>郑晨曦</t>
  </si>
  <si>
    <t>510724200312182022</t>
  </si>
  <si>
    <t>广东省中山市</t>
  </si>
  <si>
    <t>四川省绵阳市北川羌族自治县安昌镇竹园小区2栋3单元302</t>
  </si>
  <si>
    <t>周光耀</t>
  </si>
  <si>
    <t>430503200501141016</t>
  </si>
  <si>
    <t>4栋628</t>
  </si>
  <si>
    <t>邵阳市大祥区仙人井社区居民委员会城西北路110号7栋2单元204号</t>
  </si>
  <si>
    <t>周俊羽</t>
  </si>
  <si>
    <t>610102200405193516</t>
  </si>
  <si>
    <t>江苏省无锡市</t>
  </si>
  <si>
    <t>陕西省西安市新城区104街坊</t>
  </si>
  <si>
    <t>周翔</t>
  </si>
  <si>
    <t>320722200309194219</t>
  </si>
  <si>
    <t>江苏省东海县</t>
  </si>
  <si>
    <t>江苏省连云港市东海县石梁河镇北辰二村</t>
  </si>
  <si>
    <t>蔡心怡</t>
  </si>
  <si>
    <t>网络工程2202</t>
  </si>
  <si>
    <t>500107200401110628</t>
  </si>
  <si>
    <t>四川渠县</t>
  </si>
  <si>
    <t>重庆市九龙坡区红狮大道27号2-2-4-1</t>
  </si>
  <si>
    <t>曾经或现在因心理问题接受过心理咨询</t>
  </si>
  <si>
    <t>陈浩</t>
  </si>
  <si>
    <t>43102320040510007X</t>
  </si>
  <si>
    <t>8栋110</t>
  </si>
  <si>
    <t>湖南省郴州市永兴县高亭司镇军家桥四组91号</t>
  </si>
  <si>
    <t>目前在二级库，人际关系</t>
  </si>
  <si>
    <t>陈弘林</t>
  </si>
  <si>
    <t>460003200406270213</t>
  </si>
  <si>
    <t>海南省儋州市那大镇万福东福祥一街二巷62号</t>
  </si>
  <si>
    <t>韩金彪</t>
  </si>
  <si>
    <t>431224200406030234</t>
  </si>
  <si>
    <t>8栋111</t>
  </si>
  <si>
    <t>湖南省怀化市溆浦县卢峰镇盐业公司</t>
  </si>
  <si>
    <t>何嘉星</t>
  </si>
  <si>
    <t>513822200503049326</t>
  </si>
  <si>
    <t>四川眉山</t>
  </si>
  <si>
    <t>四川省眉山市仁寿县龙滩大道锦绣大地4栋2101</t>
  </si>
  <si>
    <t>黄乾</t>
  </si>
  <si>
    <t>431023200311040010</t>
  </si>
  <si>
    <t>湖南郴州市</t>
  </si>
  <si>
    <t>湖南省郴州市永兴县樟树镇坦泉村奇丰组</t>
  </si>
  <si>
    <t>万书晴</t>
  </si>
  <si>
    <t>430421200504120306</t>
  </si>
  <si>
    <t>9栋435</t>
  </si>
  <si>
    <t>湖南省衡阳市蒸湘区大立小区16栋3单元406</t>
  </si>
  <si>
    <t>阿布都拉·阿布都克力木</t>
  </si>
  <si>
    <t>654123200204160016</t>
  </si>
  <si>
    <t>4栋101</t>
  </si>
  <si>
    <t>新疆伊犁</t>
  </si>
  <si>
    <t>新疆伊犁哈萨克霍城县水定镇馨苑小区7栋6单元602</t>
  </si>
  <si>
    <t>陈铭健</t>
  </si>
  <si>
    <t>431021200405100034</t>
  </si>
  <si>
    <t>湖南省郴州市桂阳县金豪华都小区B栋501</t>
  </si>
  <si>
    <t>戴丽慧</t>
  </si>
  <si>
    <t>430525200505014602</t>
  </si>
  <si>
    <t>湖南省邵阳市洞口县醪田镇新平村戴二组38号</t>
  </si>
  <si>
    <t>否(一）</t>
  </si>
  <si>
    <t>胡效兴</t>
  </si>
  <si>
    <t>371326200209205818</t>
  </si>
  <si>
    <t>山东省临沂市</t>
  </si>
  <si>
    <t>山东省临沂市平邑县东阳社区南区2号楼502</t>
  </si>
  <si>
    <t>黄瑞东</t>
  </si>
  <si>
    <t>430111200401202174</t>
  </si>
  <si>
    <t>4栋104</t>
  </si>
  <si>
    <t>四川省营山县</t>
  </si>
  <si>
    <t>湖南省长沙市雨花区中建嘉苑三栋204房</t>
  </si>
  <si>
    <t>刘寻</t>
  </si>
  <si>
    <t>43312720040120013X</t>
  </si>
  <si>
    <t>湖南省永顺县松柏镇湖坪村六组</t>
  </si>
  <si>
    <t>罗林</t>
  </si>
  <si>
    <t>430524200409051570</t>
  </si>
  <si>
    <t>湖南省邵阳市隆回县金石桥镇金福路026号</t>
  </si>
  <si>
    <t>否一)</t>
  </si>
  <si>
    <t>纳浩鑫</t>
  </si>
  <si>
    <t>530122200407223219</t>
  </si>
  <si>
    <t>云南省昆明市晋宁区晋城街道回龙村委会186号</t>
  </si>
  <si>
    <t>目前挂科5门</t>
  </si>
  <si>
    <t>者国莉</t>
  </si>
  <si>
    <t>532722200408200048</t>
  </si>
  <si>
    <t>9栋501</t>
  </si>
  <si>
    <t>云南普洱</t>
  </si>
  <si>
    <t>云南省普洱市宁洱哈尼族彝族自治县细石头村委会老者寨二组31号</t>
  </si>
  <si>
    <t>邓杰军</t>
  </si>
  <si>
    <t>431026200401306539</t>
  </si>
  <si>
    <t>湖南省郴州市汝城县卢阳镇邓家村五组</t>
  </si>
  <si>
    <t>丁利红</t>
  </si>
  <si>
    <t>430281200408019166</t>
  </si>
  <si>
    <t>湖南醴陵</t>
  </si>
  <si>
    <t>湖南省株洲市醴陵市茶山岭镇栗山坝居委会</t>
  </si>
  <si>
    <t>封鹏飞</t>
  </si>
  <si>
    <t>430405200409100032</t>
  </si>
  <si>
    <t>湖南省衡阳市珠晖区衡安小区32栋一单元102</t>
  </si>
  <si>
    <t>胡炎岩</t>
  </si>
  <si>
    <t>431128200404150013</t>
  </si>
  <si>
    <t>4栋517</t>
  </si>
  <si>
    <t>湖南永州新田</t>
  </si>
  <si>
    <t xml:space="preserve">湖南省永州市新田县新田二中四栋三单元
</t>
  </si>
  <si>
    <t>贾琦辉</t>
  </si>
  <si>
    <t>411481200404191813</t>
  </si>
  <si>
    <t>4栋518</t>
  </si>
  <si>
    <t>河南省永城市</t>
  </si>
  <si>
    <t>河南省商丘市永城市永馨园东区25号楼一单元</t>
  </si>
  <si>
    <t>金聪</t>
  </si>
  <si>
    <t>43052120031103049X</t>
  </si>
  <si>
    <t>湖南邵阳邵东</t>
  </si>
  <si>
    <t>湖南省邵东市格林春天6栋2单元1004</t>
  </si>
  <si>
    <t>李书剑</t>
  </si>
  <si>
    <t>431024200405174817</t>
  </si>
  <si>
    <t>湖南省嘉禾县</t>
  </si>
  <si>
    <t>广东省惠州市博罗县石湾镇聚龙天誉湾二期四栋1003</t>
  </si>
  <si>
    <t>刘浩然</t>
  </si>
  <si>
    <t>43052420040819879X</t>
  </si>
  <si>
    <t>湖南省邵阳市隆回县</t>
  </si>
  <si>
    <t>湖南省邵阳市隆回县滩头镇塘冲片村3组23号</t>
  </si>
  <si>
    <t>刘昀</t>
  </si>
  <si>
    <t>430421200406080419</t>
  </si>
  <si>
    <t>湖南衡阳市蒸湘区星悦湾3栋401</t>
  </si>
  <si>
    <t>卢哲</t>
  </si>
  <si>
    <t>130423200407171410</t>
  </si>
  <si>
    <t>河北省邯郸市临漳县</t>
  </si>
  <si>
    <t>河北省邯郸市临漳县金凤龙城一单元1402</t>
  </si>
  <si>
    <t>曹淋</t>
  </si>
  <si>
    <t>320721200405186036</t>
  </si>
  <si>
    <t>5栋102</t>
  </si>
  <si>
    <t>江苏连云港</t>
  </si>
  <si>
    <t>江苏省连云港市赣榆区沙河镇丁巷村五队241号</t>
  </si>
  <si>
    <t>樊周怡</t>
  </si>
  <si>
    <t>430124200410227762</t>
  </si>
  <si>
    <t>湖南省长沙市宁乡市龙桥村五组1号</t>
  </si>
  <si>
    <t>胡毅程</t>
  </si>
  <si>
    <t>431003200406290914</t>
  </si>
  <si>
    <t>湖南省郴州市苏仙区御溪湖畔小区d4栋1702</t>
  </si>
  <si>
    <t>黄宇韬</t>
  </si>
  <si>
    <t>431027200310284019</t>
  </si>
  <si>
    <t>湖南省郴州市桂东县寨前镇白竹村大屋组63号</t>
  </si>
  <si>
    <t>孔世杰</t>
  </si>
  <si>
    <t>430626200402221432</t>
  </si>
  <si>
    <t>湖南省岳阳市平江县加义镇泗洲村130号</t>
  </si>
  <si>
    <t>任瑞婷</t>
  </si>
  <si>
    <t>411722200310263421</t>
  </si>
  <si>
    <t>9栋505</t>
  </si>
  <si>
    <t>河南驻马店</t>
  </si>
  <si>
    <t>河南驻马店市上蔡县鹏宇小区1号楼1402</t>
  </si>
  <si>
    <t>苏宇峰</t>
  </si>
  <si>
    <t>431121200412120055</t>
  </si>
  <si>
    <t>湖南省永州市祁阳县龙山街道赛浯甸小区一栋401</t>
  </si>
  <si>
    <t>唐俊豪</t>
  </si>
  <si>
    <t>430503200401154514</t>
  </si>
  <si>
    <t>湖南省邵阳市大祥区雨溪桥7组285号</t>
  </si>
  <si>
    <t>王忠飞</t>
  </si>
  <si>
    <t>43112220041111299X</t>
  </si>
  <si>
    <t>湖南省永州市东安县白牙市镇御景府七栋512</t>
  </si>
  <si>
    <t>张裕丰</t>
  </si>
  <si>
    <t>430202200411080552</t>
  </si>
  <si>
    <t>湖南省株洲市</t>
  </si>
  <si>
    <t>湖南省株洲市荷塘区仙庾镇东山村上屋组025号</t>
  </si>
  <si>
    <t>胡雅蓝</t>
  </si>
  <si>
    <t>物联网2201</t>
  </si>
  <si>
    <t>430529200405075286</t>
  </si>
  <si>
    <t>湖南省邵阳市城步苗族自治县鸿旺家园二栋702</t>
  </si>
  <si>
    <t>瑶</t>
  </si>
  <si>
    <t>段佳豪</t>
  </si>
  <si>
    <t>431281200407120036</t>
  </si>
  <si>
    <t>湖南洪江</t>
  </si>
  <si>
    <t>湖南省洪江市安江镇河西社区26组26号</t>
  </si>
  <si>
    <t>心脏疾病</t>
  </si>
  <si>
    <t>古尼克孜·塔西</t>
  </si>
  <si>
    <t>652827200108241424</t>
  </si>
  <si>
    <t>新疆巴州</t>
  </si>
  <si>
    <t>新疆巴州库尔勒市和静县哈尔莫敦镇觉伦图尔根村4组28号</t>
  </si>
  <si>
    <t>梁斌</t>
  </si>
  <si>
    <t>431382200206260077</t>
  </si>
  <si>
    <t>湖南省涟源市</t>
  </si>
  <si>
    <t>湖南省娄底市涟源市枫坪镇球树村传山组</t>
  </si>
  <si>
    <t>刘博文</t>
  </si>
  <si>
    <t>410185200410070071</t>
  </si>
  <si>
    <t>河南郑州</t>
  </si>
  <si>
    <t>河南省郑州市登封市金桂园小区3号楼一单元603</t>
  </si>
  <si>
    <t>欧阳超</t>
  </si>
  <si>
    <t>430424200403160172</t>
  </si>
  <si>
    <t>湖南省衡阳市衡东县城关镇丽都东路129号</t>
  </si>
  <si>
    <t>于千淮</t>
  </si>
  <si>
    <t>230123200502021856</t>
  </si>
  <si>
    <t>黑龙江哈尔滨</t>
  </si>
  <si>
    <t>黑龙江省哈尔滨市依兰县学府明珠</t>
  </si>
  <si>
    <t>黑龙江省</t>
  </si>
  <si>
    <t>于照潘</t>
  </si>
  <si>
    <t>370282200311151531</t>
  </si>
  <si>
    <t>山东省青岛市即墨区龙山上苑2栋302</t>
  </si>
  <si>
    <t>周林峰</t>
  </si>
  <si>
    <t>431321200410120095</t>
  </si>
  <si>
    <t>湖南省娄底市双峰县杏子铺镇万年村毛畲组</t>
  </si>
  <si>
    <t>陈思颖</t>
  </si>
  <si>
    <t>610323200401191110</t>
  </si>
  <si>
    <t>陕西宝鸡</t>
  </si>
  <si>
    <t>陕西省西安市临潼区石油生活城</t>
  </si>
  <si>
    <t>陈泽宇</t>
  </si>
  <si>
    <t>430481200307238934</t>
  </si>
  <si>
    <t>湖南省衡阳市耒阳市五里牌街道西湖北路珠子岭78栋</t>
  </si>
  <si>
    <t>卿泽君</t>
  </si>
  <si>
    <t>431322200408050151</t>
  </si>
  <si>
    <t>湖南省新化县枫林街道火车站社区天华南路46号4栋202号</t>
  </si>
  <si>
    <t>王璞</t>
  </si>
  <si>
    <t>430981200411070913</t>
  </si>
  <si>
    <t>湖南省沅江市琼湖办事处保民村西甲组村民组379号</t>
  </si>
  <si>
    <t>广东省</t>
  </si>
  <si>
    <t>徐赫琦</t>
  </si>
  <si>
    <t>230382200305183814</t>
  </si>
  <si>
    <t>黑龙江密山</t>
  </si>
  <si>
    <t>黑龙江省密山市二人班乡尚志村委会2组</t>
  </si>
  <si>
    <t>周添钊</t>
  </si>
  <si>
    <t>430321200504030137</t>
  </si>
  <si>
    <t>8栋118</t>
  </si>
  <si>
    <t>湖南省湘潭市湘潭县锦石乡东剑村球塘组</t>
  </si>
  <si>
    <t>杜红文</t>
  </si>
  <si>
    <t>522322200308212419</t>
  </si>
  <si>
    <t>贵州兴仁</t>
  </si>
  <si>
    <t>贵州省兴义市新时代花园c区34单元301</t>
  </si>
  <si>
    <t>否(四)</t>
  </si>
  <si>
    <t>黄亚明</t>
  </si>
  <si>
    <t>430521200412191479</t>
  </si>
  <si>
    <t>湖南省邵阳邵东市东方华庭b栋一单元302</t>
  </si>
  <si>
    <t>刘瑜</t>
  </si>
  <si>
    <t>430726200403220015</t>
  </si>
  <si>
    <t>湖南省常德市石门县三江名都13栋三单元205</t>
  </si>
  <si>
    <t>罗浩</t>
  </si>
  <si>
    <t>530381200401130012</t>
  </si>
  <si>
    <t>云南宣威</t>
  </si>
  <si>
    <t>云南省宣威市双龙街道龙华居委会新庄子村11号</t>
  </si>
  <si>
    <t>马威</t>
  </si>
  <si>
    <t>32072420030322095X</t>
  </si>
  <si>
    <t>4栋528</t>
  </si>
  <si>
    <t xml:space="preserve">江苏省连云港市灌南县国城华庭25号楼一单元502
</t>
  </si>
  <si>
    <t>欧阳旭宏</t>
  </si>
  <si>
    <t>430524200403168735</t>
  </si>
  <si>
    <t>广东省中山市大涌镇岚山翠苑1栋905</t>
  </si>
  <si>
    <t>宋俊杰</t>
  </si>
  <si>
    <t>430902200409236536</t>
  </si>
  <si>
    <t>湖南省益阳市益阳大道西22号</t>
  </si>
  <si>
    <t>唐杰</t>
  </si>
  <si>
    <t>431025200503203630</t>
  </si>
  <si>
    <t>湖南郴州临武</t>
  </si>
  <si>
    <t>湖南省郴州市临武县官商六巷12号</t>
  </si>
  <si>
    <t>陈宇</t>
  </si>
  <si>
    <t>430422200411071214</t>
  </si>
  <si>
    <t>湖南省衡南县</t>
  </si>
  <si>
    <t>湖南省衡南县茅市镇荣贵村知止组</t>
  </si>
  <si>
    <t>高梓洋</t>
  </si>
  <si>
    <t>130624200302091411</t>
  </si>
  <si>
    <t>河北省阜平县</t>
  </si>
  <si>
    <t>云南省昆明市盘龙区青云街道白龙路佳园小区兰苑九栋二单元402</t>
  </si>
  <si>
    <t>胡子杨</t>
  </si>
  <si>
    <t>430624200408220016</t>
  </si>
  <si>
    <t>湖南省岳阳市</t>
  </si>
  <si>
    <t>湖南省岳阳市湘阴县樟树镇柳庄村10组</t>
  </si>
  <si>
    <t>黄昭文</t>
  </si>
  <si>
    <t>430281200407163350</t>
  </si>
  <si>
    <t>湖南省醴陵市</t>
  </si>
  <si>
    <t>湖南省株洲市醴陵市阳三石街道老古桥租37号</t>
  </si>
  <si>
    <t>李春林</t>
  </si>
  <si>
    <t>500231200402092295</t>
  </si>
  <si>
    <t>重庆市垫江县</t>
  </si>
  <si>
    <t>重庆市垫江县普顺镇仁合村5组49号</t>
  </si>
  <si>
    <t>钱春燕</t>
  </si>
  <si>
    <t>520328200402273548</t>
  </si>
  <si>
    <t>贵州湄潭</t>
  </si>
  <si>
    <t>贵州省遵义市湄潭县复兴镇七里坝村田坝组38号</t>
  </si>
  <si>
    <t>王晓雯</t>
  </si>
  <si>
    <t>620102200407150642</t>
  </si>
  <si>
    <t>甘肃省兰州市</t>
  </si>
  <si>
    <t>甘肃省兰州市安宁区安宁堡社区</t>
  </si>
  <si>
    <t>陈凯</t>
  </si>
  <si>
    <t>物联网2202</t>
  </si>
  <si>
    <t>430181200310180810</t>
  </si>
  <si>
    <t>湖南省长沙市浏阳市古港镇</t>
  </si>
  <si>
    <t>范仲杰</t>
  </si>
  <si>
    <t>43100220040525101X</t>
  </si>
  <si>
    <t>湖南省郴州市北湖区升平路八号</t>
  </si>
  <si>
    <t>冯汉宇</t>
  </si>
  <si>
    <t>440902200311060474</t>
  </si>
  <si>
    <t>5栋508</t>
  </si>
  <si>
    <t>广东茂名</t>
  </si>
  <si>
    <t>广东省茂名市茂南区双山三路双山北住宅小区</t>
  </si>
  <si>
    <t>何本涛</t>
  </si>
  <si>
    <t>43052820031022537X</t>
  </si>
  <si>
    <t>湖南省新宁县安山乡永兴村11组</t>
  </si>
  <si>
    <t>黄日成</t>
  </si>
  <si>
    <t>430481200309010095</t>
  </si>
  <si>
    <t>湖南耒阳</t>
  </si>
  <si>
    <t>湖南省耒阳市朱子坪19栋</t>
  </si>
  <si>
    <t>欧阳巍涛</t>
  </si>
  <si>
    <t>431026200406132013</t>
  </si>
  <si>
    <t>湖南省郴州市汝城县泉水镇西黄村九组</t>
  </si>
  <si>
    <t>谭鑫</t>
  </si>
  <si>
    <t>430426200501290096</t>
  </si>
  <si>
    <t>湖南省祁东县金桥镇云丰村老段塘组5号</t>
  </si>
  <si>
    <t>许杨斌</t>
  </si>
  <si>
    <t>430481200411010198</t>
  </si>
  <si>
    <t>湖南省衡阳市耒阳市黄市镇阳塘村9组</t>
  </si>
  <si>
    <t>周吴海</t>
  </si>
  <si>
    <t>430725200407120293</t>
  </si>
  <si>
    <t>湖南省常德市桃源县木塘垸镇金山村11组024</t>
  </si>
  <si>
    <t>陈舟宇</t>
  </si>
  <si>
    <t>431026200410150011</t>
  </si>
  <si>
    <t>湖南省汝城县卢阳镇陈家组</t>
  </si>
  <si>
    <t>华丰炜</t>
  </si>
  <si>
    <t>44098220041224539X</t>
  </si>
  <si>
    <t>广东省化州市</t>
  </si>
  <si>
    <t>广东省惠州市石湾双城峰景</t>
  </si>
  <si>
    <t>李立帅</t>
  </si>
  <si>
    <t>430121200408132212</t>
  </si>
  <si>
    <t>湖南省长沙市长沙县五美街道</t>
  </si>
  <si>
    <t>李璐</t>
  </si>
  <si>
    <t>430721200502200042</t>
  </si>
  <si>
    <t>9栋438</t>
  </si>
  <si>
    <t>湖南省常德市安乡县安裕乡槐西村09006号</t>
  </si>
  <si>
    <t>孙家聪</t>
  </si>
  <si>
    <t>320582200312143311</t>
  </si>
  <si>
    <t>4栋138</t>
  </si>
  <si>
    <t>江苏苏州</t>
  </si>
  <si>
    <t>江苏省苏州市张家港市塘桥镇周巷新村36号</t>
  </si>
  <si>
    <t>唐韩</t>
  </si>
  <si>
    <t>43112220050312017X</t>
  </si>
  <si>
    <t>湖南东安</t>
  </si>
  <si>
    <t>湖南省东安县石期市镇竹溪村八组</t>
  </si>
  <si>
    <t>否(三)</t>
  </si>
  <si>
    <t>许伦杰</t>
  </si>
  <si>
    <t>429004200402243135</t>
  </si>
  <si>
    <t>4栋224</t>
  </si>
  <si>
    <t>湖北仙桃</t>
  </si>
  <si>
    <t>湖北省仙桃市彭场镇八步村二组东一巷一号</t>
  </si>
  <si>
    <t>张耀</t>
  </si>
  <si>
    <t>431003200409012215</t>
  </si>
  <si>
    <t>湖南省郴州市苏仙区中行路桔景园小区</t>
  </si>
  <si>
    <t>常睿杰</t>
  </si>
  <si>
    <t>430407200503050011</t>
  </si>
  <si>
    <t>湖南省衡阳市蒸湘区长湖街3号船山明珠A栋1105</t>
  </si>
  <si>
    <t>陈俞争</t>
  </si>
  <si>
    <t>431121200412057535</t>
  </si>
  <si>
    <t>湖南省永州市祁阳市文明铺镇联益村3组</t>
  </si>
  <si>
    <t>伏宇轩</t>
  </si>
  <si>
    <t>430681200411290055</t>
  </si>
  <si>
    <t>湖南省岳阳市汨罗市白水镇汽车站</t>
  </si>
  <si>
    <t>李泽森</t>
  </si>
  <si>
    <t>130532200408287556</t>
  </si>
  <si>
    <t>河北邢台</t>
  </si>
  <si>
    <t>河北省邢台市平乡县寻召乡大宋村009</t>
  </si>
  <si>
    <t>骆铠嘉</t>
  </si>
  <si>
    <t>431128200405210030</t>
  </si>
  <si>
    <t>湖南省永州市新田县龙泉镇盛和新城B605</t>
  </si>
  <si>
    <t>目前挂科7门</t>
  </si>
  <si>
    <t>马洲航</t>
  </si>
  <si>
    <t>431126200410070332</t>
  </si>
  <si>
    <t>湖南省永州市宁远县天堂镇大阳洞村</t>
  </si>
  <si>
    <t>曲晓雨</t>
  </si>
  <si>
    <t>131128200411233940</t>
  </si>
  <si>
    <t>河北衡水</t>
  </si>
  <si>
    <t>河北省衡水市阜城县崔庙镇卢集村</t>
  </si>
  <si>
    <t>王思成</t>
  </si>
  <si>
    <t>421121200404117022</t>
  </si>
  <si>
    <t>湖北省黄冈市</t>
  </si>
  <si>
    <t>湖北省黄冈市团风县孔雀城</t>
  </si>
  <si>
    <t>周志鹏</t>
  </si>
  <si>
    <t>430722200411300175</t>
  </si>
  <si>
    <t>湖南省汉寿县</t>
  </si>
  <si>
    <t>湖南省汉寿县岩汪湖镇定上湖渔场</t>
  </si>
  <si>
    <t>唐卓辉</t>
  </si>
  <si>
    <t>431023200311140011</t>
  </si>
  <si>
    <t>4栋612</t>
  </si>
  <si>
    <t>湖南省永兴县</t>
  </si>
  <si>
    <t>湖南省郴州市永兴县悦来镇悦来村十二组</t>
  </si>
  <si>
    <t>文子杰</t>
  </si>
  <si>
    <t>430902200404081037</t>
  </si>
  <si>
    <t>湖南省益阳市</t>
  </si>
  <si>
    <t>湖南省益阳市秀峰东路82号</t>
  </si>
  <si>
    <t>城市</t>
  </si>
  <si>
    <t>肖鹏</t>
  </si>
  <si>
    <t>430724200410100019</t>
  </si>
  <si>
    <t>湖南省临澧县修梅镇杨板桥社区太堰组04012号</t>
  </si>
  <si>
    <t>周重德</t>
  </si>
  <si>
    <t>430426200410020250</t>
  </si>
  <si>
    <t>湖南省衡阳市</t>
  </si>
  <si>
    <t>湖南省祁东县洪桥镇新丰居委会</t>
  </si>
  <si>
    <t>二级库</t>
  </si>
  <si>
    <t>钟佳志</t>
  </si>
  <si>
    <r>
      <rPr>
        <sz val="11"/>
        <color rgb="FF000000"/>
        <rFont val="宋体"/>
        <charset val="134"/>
        <scheme val="minor"/>
      </rPr>
      <t>430525200402190099</t>
    </r>
  </si>
  <si>
    <r>
      <rPr>
        <sz val="11"/>
        <color rgb="FF000000"/>
        <rFont val="宋体"/>
        <charset val="134"/>
        <scheme val="minor"/>
      </rPr>
      <t>包工2206</t>
    </r>
  </si>
  <si>
    <t>5栋431</t>
  </si>
  <si>
    <r>
      <rPr>
        <sz val="11"/>
        <color rgb="FF000000"/>
        <rFont val="宋体"/>
        <charset val="134"/>
        <scheme val="minor"/>
      </rPr>
      <t>汉族</t>
    </r>
  </si>
  <si>
    <r>
      <rPr>
        <sz val="11"/>
        <color rgb="FF000000"/>
        <rFont val="宋体"/>
        <charset val="134"/>
        <scheme val="minor"/>
      </rPr>
      <t>湖南邵阳</t>
    </r>
  </si>
  <si>
    <r>
      <rPr>
        <sz val="11"/>
        <color rgb="FF000000"/>
        <rFont val="宋体"/>
        <charset val="134"/>
        <scheme val="minor"/>
      </rPr>
      <t>群众</t>
    </r>
  </si>
  <si>
    <r>
      <rPr>
        <sz val="11"/>
        <color rgb="FF000000"/>
        <rFont val="宋体"/>
        <charset val="134"/>
        <scheme val="minor"/>
      </rPr>
      <t>否</t>
    </r>
  </si>
  <si>
    <r>
      <rPr>
        <sz val="11"/>
        <color rgb="FF000000"/>
        <rFont val="宋体"/>
        <charset val="134"/>
        <scheme val="minor"/>
      </rPr>
      <t>否(排行3)</t>
    </r>
  </si>
  <si>
    <r>
      <rPr>
        <sz val="11"/>
        <color rgb="FF000000"/>
        <rFont val="宋体"/>
        <charset val="134"/>
        <scheme val="minor"/>
      </rPr>
      <t>城镇户口</t>
    </r>
  </si>
  <si>
    <r>
      <rPr>
        <sz val="11"/>
        <color rgb="FF000000"/>
        <rFont val="宋体"/>
        <charset val="134"/>
        <scheme val="minor"/>
      </rPr>
      <t>父母抚养长大</t>
    </r>
  </si>
  <si>
    <r>
      <rPr>
        <sz val="11"/>
        <color rgb="FF000000"/>
        <rFont val="宋体"/>
        <charset val="134"/>
        <scheme val="minor"/>
      </rPr>
      <t>很好</t>
    </r>
  </si>
  <si>
    <r>
      <rPr>
        <sz val="11"/>
        <color rgb="FF000000"/>
        <rFont val="宋体"/>
        <charset val="134"/>
        <scheme val="minor"/>
      </rPr>
      <t>正常</t>
    </r>
  </si>
  <si>
    <r>
      <rPr>
        <sz val="11"/>
        <color rgb="FF000000"/>
        <rFont val="宋体"/>
        <charset val="134"/>
        <scheme val="minor"/>
      </rPr>
      <t>无心理疾病</t>
    </r>
  </si>
  <si>
    <r>
      <rPr>
        <sz val="11"/>
        <color rgb="FF000000"/>
        <rFont val="宋体"/>
        <charset val="134"/>
        <scheme val="minor"/>
      </rPr>
      <t>无</t>
    </r>
  </si>
  <si>
    <t>罗泳岚</t>
  </si>
  <si>
    <r>
      <rPr>
        <sz val="11"/>
        <color rgb="FF000000"/>
        <rFont val="宋体"/>
        <charset val="134"/>
        <scheme val="minor"/>
      </rPr>
      <t>36073520041015005X</t>
    </r>
  </si>
  <si>
    <r>
      <rPr>
        <sz val="11"/>
        <color rgb="FF000000"/>
        <rFont val="宋体"/>
        <charset val="134"/>
        <scheme val="minor"/>
      </rPr>
      <t>包工2201</t>
    </r>
  </si>
  <si>
    <t>26栋</t>
  </si>
  <si>
    <t>26栋118</t>
  </si>
  <si>
    <r>
      <rPr>
        <sz val="11"/>
        <color rgb="FF000000"/>
        <rFont val="宋体"/>
        <charset val="134"/>
        <scheme val="minor"/>
      </rPr>
      <t>江西赣州</t>
    </r>
  </si>
  <si>
    <r>
      <rPr>
        <sz val="11"/>
        <color rgb="FF000000"/>
        <rFont val="宋体"/>
        <charset val="134"/>
        <scheme val="minor"/>
      </rPr>
      <t>江西省赣州市石城县西外村东坑里</t>
    </r>
  </si>
  <si>
    <r>
      <rPr>
        <sz val="11"/>
        <color rgb="FF000000"/>
        <rFont val="宋体"/>
        <charset val="134"/>
        <scheme val="minor"/>
      </rPr>
      <t>男</t>
    </r>
  </si>
  <si>
    <r>
      <rPr>
        <sz val="11"/>
        <color rgb="FF000000"/>
        <rFont val="宋体"/>
        <charset val="134"/>
        <scheme val="minor"/>
      </rPr>
      <t>汉</t>
    </r>
  </si>
  <si>
    <r>
      <rPr>
        <sz val="11"/>
        <color rgb="FF000000"/>
        <rFont val="宋体"/>
        <charset val="134"/>
        <scheme val="minor"/>
      </rPr>
      <t>是</t>
    </r>
  </si>
  <si>
    <r>
      <rPr>
        <sz val="11"/>
        <color rgb="FF000000"/>
        <rFont val="宋体"/>
        <charset val="134"/>
        <scheme val="minor"/>
      </rPr>
      <t>农村户口</t>
    </r>
  </si>
  <si>
    <t>王凌波</t>
  </si>
  <si>
    <r>
      <rPr>
        <sz val="11"/>
        <color rgb="FF000000"/>
        <rFont val="宋体"/>
        <charset val="134"/>
        <scheme val="minor"/>
      </rPr>
      <t>43082220020320001X</t>
    </r>
  </si>
  <si>
    <r>
      <rPr>
        <sz val="11"/>
        <color rgb="FF000000"/>
        <rFont val="宋体"/>
        <charset val="134"/>
        <scheme val="minor"/>
      </rPr>
      <t>土木大类2001</t>
    </r>
  </si>
  <si>
    <t>24栋</t>
  </si>
  <si>
    <t>24栋518</t>
  </si>
  <si>
    <r>
      <rPr>
        <sz val="11"/>
        <color rgb="FF000000"/>
        <rFont val="宋体"/>
        <charset val="134"/>
        <scheme val="minor"/>
      </rPr>
      <t>白族</t>
    </r>
  </si>
  <si>
    <r>
      <rPr>
        <sz val="11"/>
        <color rgb="FF000000"/>
        <rFont val="宋体"/>
        <charset val="134"/>
        <scheme val="minor"/>
      </rPr>
      <t>湖南张家界</t>
    </r>
  </si>
  <si>
    <r>
      <rPr>
        <sz val="11"/>
        <color rgb="FF000000"/>
        <rFont val="宋体"/>
        <charset val="134"/>
        <scheme val="minor"/>
      </rPr>
      <t>中共党员</t>
    </r>
  </si>
  <si>
    <r>
      <rPr>
        <sz val="11"/>
        <color rgb="FF000000"/>
        <rFont val="宋体"/>
        <charset val="134"/>
        <scheme val="minor"/>
      </rPr>
      <t>湖南张家界市桑植县金豪花园14栋601</t>
    </r>
  </si>
  <si>
    <r>
      <rPr>
        <sz val="11"/>
        <color rgb="FF000000"/>
        <rFont val="宋体"/>
        <charset val="134"/>
        <scheme val="minor"/>
      </rPr>
      <t>白</t>
    </r>
  </si>
  <si>
    <t>朱柏岩</t>
  </si>
  <si>
    <r>
      <rPr>
        <sz val="11"/>
        <color rgb="FF000000"/>
        <rFont val="宋体"/>
        <charset val="134"/>
        <scheme val="minor"/>
      </rPr>
      <t>40190120040514401X</t>
    </r>
  </si>
  <si>
    <r>
      <rPr>
        <sz val="11"/>
        <color rgb="FF000000"/>
        <rFont val="宋体"/>
        <charset val="134"/>
        <scheme val="minor"/>
      </rPr>
      <t>材料2205</t>
    </r>
  </si>
  <si>
    <t>26栋114</t>
  </si>
  <si>
    <r>
      <rPr>
        <sz val="11"/>
        <color rgb="FF000000"/>
        <rFont val="宋体"/>
        <charset val="134"/>
        <scheme val="minor"/>
      </rPr>
      <t>河南滑县</t>
    </r>
  </si>
  <si>
    <r>
      <rPr>
        <sz val="11"/>
        <color rgb="FF000000"/>
        <rFont val="宋体"/>
        <charset val="134"/>
        <scheme val="minor"/>
      </rPr>
      <t>共青团员</t>
    </r>
  </si>
  <si>
    <r>
      <rPr>
        <sz val="11"/>
        <color rgb="FF000000"/>
        <rFont val="宋体"/>
        <charset val="134"/>
        <scheme val="minor"/>
      </rPr>
      <t>河南省濮阳市华龙区中央公园</t>
    </r>
  </si>
  <si>
    <r>
      <rPr>
        <sz val="11"/>
        <color rgb="FF000000"/>
        <rFont val="宋体"/>
        <charset val="134"/>
        <scheme val="minor"/>
      </rPr>
      <t>河南濮阳</t>
    </r>
  </si>
  <si>
    <t>姚诗东</t>
  </si>
  <si>
    <r>
      <rPr>
        <sz val="11"/>
        <color rgb="FF000000"/>
        <rFont val="宋体"/>
        <charset val="134"/>
        <scheme val="minor"/>
      </rPr>
      <t>430821200411090613</t>
    </r>
  </si>
  <si>
    <r>
      <rPr>
        <sz val="11"/>
        <color rgb="FF000000"/>
        <rFont val="宋体"/>
        <charset val="134"/>
        <scheme val="minor"/>
      </rPr>
      <t>建筑2202</t>
    </r>
  </si>
  <si>
    <t>24栋520</t>
  </si>
  <si>
    <r>
      <rPr>
        <sz val="11"/>
        <color rgb="FF000000"/>
        <rFont val="宋体"/>
        <charset val="134"/>
        <scheme val="minor"/>
      </rPr>
      <t>土家族</t>
    </r>
  </si>
  <si>
    <r>
      <rPr>
        <sz val="11"/>
        <color rgb="FF000000"/>
        <rFont val="宋体"/>
        <charset val="134"/>
        <scheme val="minor"/>
      </rPr>
      <t>湖南省张家界慈利县</t>
    </r>
  </si>
  <si>
    <r>
      <rPr>
        <sz val="11"/>
        <color rgb="FF000000"/>
        <rFont val="宋体"/>
        <charset val="134"/>
        <scheme val="minor"/>
      </rPr>
      <t>土家</t>
    </r>
  </si>
  <si>
    <t>胡弈宁</t>
  </si>
  <si>
    <r>
      <rPr>
        <sz val="11"/>
        <color rgb="FF000000"/>
        <rFont val="宋体"/>
        <charset val="134"/>
        <scheme val="minor"/>
      </rPr>
      <t>430602200410010124</t>
    </r>
  </si>
  <si>
    <r>
      <rPr>
        <sz val="11"/>
        <color rgb="FF000000"/>
        <rFont val="宋体"/>
        <charset val="134"/>
        <scheme val="minor"/>
      </rPr>
      <t>材料2202</t>
    </r>
  </si>
  <si>
    <t>9栋108</t>
  </si>
  <si>
    <r>
      <rPr>
        <sz val="11"/>
        <color rgb="FF000000"/>
        <rFont val="宋体"/>
        <charset val="134"/>
        <scheme val="minor"/>
      </rPr>
      <t>湖南岳阳</t>
    </r>
  </si>
  <si>
    <r>
      <rPr>
        <sz val="11"/>
        <color rgb="FF000000"/>
        <rFont val="宋体"/>
        <charset val="134"/>
        <scheme val="minor"/>
      </rPr>
      <t>湖南省岳阳市岳阳楼区香洲路恒大名都</t>
    </r>
  </si>
  <si>
    <r>
      <rPr>
        <sz val="11"/>
        <color rgb="FF000000"/>
        <rFont val="宋体"/>
        <charset val="134"/>
        <scheme val="minor"/>
      </rPr>
      <t>女</t>
    </r>
  </si>
  <si>
    <r>
      <rPr>
        <sz val="11"/>
        <color rgb="FF000000"/>
        <rFont val="宋体"/>
        <charset val="134"/>
        <scheme val="minor"/>
      </rPr>
      <t>不是（排行1）</t>
    </r>
  </si>
  <si>
    <t>黄扬</t>
  </si>
  <si>
    <r>
      <rPr>
        <sz val="11"/>
        <color rgb="FF000000"/>
        <rFont val="宋体"/>
        <charset val="134"/>
        <scheme val="minor"/>
      </rPr>
      <t>431102200310280075</t>
    </r>
  </si>
  <si>
    <r>
      <rPr>
        <sz val="11"/>
        <color rgb="FF000000"/>
        <rFont val="宋体"/>
        <charset val="134"/>
        <scheme val="minor"/>
      </rPr>
      <t>给排水2201</t>
    </r>
  </si>
  <si>
    <t>6栋</t>
  </si>
  <si>
    <t>6栋631</t>
  </si>
  <si>
    <r>
      <rPr>
        <sz val="11"/>
        <color rgb="FF000000"/>
        <rFont val="宋体"/>
        <charset val="134"/>
        <scheme val="minor"/>
      </rPr>
      <t>湖南永州</t>
    </r>
  </si>
  <si>
    <r>
      <rPr>
        <sz val="11"/>
        <color rgb="FF000000"/>
        <rFont val="宋体"/>
        <charset val="134"/>
        <scheme val="minor"/>
      </rPr>
      <t>湖南永州市</t>
    </r>
  </si>
  <si>
    <t>廖航</t>
  </si>
  <si>
    <r>
      <rPr>
        <sz val="11"/>
        <color rgb="FF000000"/>
        <rFont val="宋体"/>
        <charset val="134"/>
        <scheme val="minor"/>
      </rPr>
      <t>511011200312114151</t>
    </r>
  </si>
  <si>
    <r>
      <rPr>
        <sz val="11"/>
        <color rgb="FF000000"/>
        <rFont val="宋体"/>
        <charset val="134"/>
        <scheme val="minor"/>
      </rPr>
      <t>智能建造2101</t>
    </r>
  </si>
  <si>
    <t>2栋</t>
  </si>
  <si>
    <t>2栋532</t>
  </si>
  <si>
    <r>
      <rPr>
        <sz val="11"/>
        <color rgb="FF000000"/>
        <rFont val="宋体"/>
        <charset val="134"/>
        <scheme val="minor"/>
      </rPr>
      <t>四川内江</t>
    </r>
  </si>
  <si>
    <t>四川省内江市</t>
  </si>
  <si>
    <r>
      <rPr>
        <sz val="11"/>
        <color rgb="FF000000"/>
        <rFont val="宋体"/>
        <charset val="134"/>
        <scheme val="minor"/>
      </rPr>
      <t>祖父母抚养</t>
    </r>
  </si>
  <si>
    <r>
      <rPr>
        <sz val="11"/>
        <color rgb="FF000000"/>
        <rFont val="宋体"/>
        <charset val="134"/>
        <scheme val="minor"/>
      </rPr>
      <t>一般</t>
    </r>
  </si>
  <si>
    <r>
      <rPr>
        <sz val="11"/>
        <color rgb="FF000000"/>
        <rFont val="宋体"/>
        <charset val="134"/>
        <scheme val="minor"/>
      </rPr>
      <t>离异</t>
    </r>
  </si>
  <si>
    <t>沈宇杰</t>
  </si>
  <si>
    <r>
      <rPr>
        <sz val="11"/>
        <color rgb="FF000000"/>
        <rFont val="宋体"/>
        <charset val="134"/>
        <scheme val="minor"/>
      </rPr>
      <t>43022420040416393X</t>
    </r>
  </si>
  <si>
    <r>
      <rPr>
        <sz val="11"/>
        <color rgb="FF000000"/>
        <rFont val="宋体"/>
        <charset val="134"/>
        <scheme val="minor"/>
      </rPr>
      <t>包工2205</t>
    </r>
  </si>
  <si>
    <t>5栋423</t>
  </si>
  <si>
    <r>
      <rPr>
        <sz val="11"/>
        <color rgb="FF000000"/>
        <rFont val="宋体"/>
        <charset val="134"/>
        <scheme val="minor"/>
      </rPr>
      <t>湖南株洲</t>
    </r>
  </si>
  <si>
    <t>湖南省长沙</t>
  </si>
  <si>
    <t>王勤</t>
  </si>
  <si>
    <r>
      <rPr>
        <sz val="11"/>
        <color rgb="FF000000"/>
        <rFont val="宋体"/>
        <charset val="134"/>
        <scheme val="minor"/>
      </rPr>
      <t>432503200310260559</t>
    </r>
  </si>
  <si>
    <r>
      <rPr>
        <sz val="11"/>
        <color rgb="FF000000"/>
        <rFont val="宋体"/>
        <charset val="134"/>
        <scheme val="minor"/>
      </rPr>
      <t>电子信息2203</t>
    </r>
  </si>
  <si>
    <t>25栋</t>
  </si>
  <si>
    <t>25栋606</t>
  </si>
  <si>
    <r>
      <rPr>
        <sz val="11"/>
        <color rgb="FF000000"/>
        <rFont val="宋体"/>
        <charset val="134"/>
        <scheme val="minor"/>
      </rPr>
      <t>湖南涟源</t>
    </r>
  </si>
  <si>
    <r>
      <rPr>
        <sz val="11"/>
        <color rgb="FF000000"/>
        <rFont val="宋体"/>
        <charset val="134"/>
        <scheme val="minor"/>
      </rPr>
      <t>苏州市吴中区木渎大运城9-517</t>
    </r>
  </si>
  <si>
    <r>
      <rPr>
        <sz val="11"/>
        <color rgb="FF000000"/>
        <rFont val="宋体"/>
        <charset val="134"/>
        <scheme val="minor"/>
      </rPr>
      <t>江苏苏州</t>
    </r>
  </si>
  <si>
    <t>王兴瑞</t>
  </si>
  <si>
    <r>
      <rPr>
        <sz val="11"/>
        <color rgb="FF000000"/>
        <rFont val="宋体"/>
        <charset val="134"/>
        <scheme val="minor"/>
      </rPr>
      <t>440802200406050011</t>
    </r>
  </si>
  <si>
    <r>
      <rPr>
        <sz val="11"/>
        <color rgb="FF000000"/>
        <rFont val="宋体"/>
        <charset val="134"/>
        <scheme val="minor"/>
      </rPr>
      <t>材料2210</t>
    </r>
  </si>
  <si>
    <r>
      <rPr>
        <sz val="11"/>
        <color rgb="FF000000"/>
        <rFont val="宋体"/>
        <charset val="134"/>
        <scheme val="minor"/>
      </rPr>
      <t>四川乐山</t>
    </r>
  </si>
  <si>
    <r>
      <rPr>
        <sz val="11"/>
        <color rgb="FF000000"/>
        <rFont val="宋体"/>
        <charset val="134"/>
        <scheme val="minor"/>
      </rPr>
      <t>广东省广州市</t>
    </r>
  </si>
  <si>
    <r>
      <rPr>
        <sz val="11"/>
        <color rgb="FF000000"/>
        <rFont val="宋体"/>
        <charset val="134"/>
        <scheme val="minor"/>
      </rPr>
      <t>广东广州</t>
    </r>
  </si>
  <si>
    <r>
      <rPr>
        <sz val="11"/>
        <color rgb="FF000000"/>
        <rFont val="宋体"/>
        <charset val="134"/>
        <scheme val="minor"/>
      </rPr>
      <t>父母抚养</t>
    </r>
  </si>
  <si>
    <t>周弘凯</t>
  </si>
  <si>
    <t>532301200303120531</t>
  </si>
  <si>
    <t>自动化2201</t>
  </si>
  <si>
    <t>3栋</t>
  </si>
  <si>
    <t>云南楚雄</t>
  </si>
  <si>
    <t>罗嘉欣</t>
  </si>
  <si>
    <t>362502200410112022</t>
  </si>
  <si>
    <t>工程造价2202</t>
  </si>
  <si>
    <t>龚嘉仪</t>
  </si>
  <si>
    <t>429006200412073320</t>
  </si>
  <si>
    <t>工程造价2201</t>
  </si>
  <si>
    <t>湖北天门</t>
  </si>
  <si>
    <t>李少宇</t>
  </si>
  <si>
    <t>410922200412250314</t>
  </si>
  <si>
    <t>土木大类2203</t>
  </si>
  <si>
    <t>河南濮阳</t>
  </si>
  <si>
    <t>团员</t>
  </si>
  <si>
    <t>李泽</t>
  </si>
  <si>
    <t>431026200410100030</t>
  </si>
  <si>
    <t>包装工程2207</t>
  </si>
  <si>
    <t>贺钰番</t>
  </si>
  <si>
    <t>430202200312160012</t>
  </si>
  <si>
    <t>机械类2208</t>
  </si>
  <si>
    <t>湖南株洲</t>
  </si>
  <si>
    <t>周蜜</t>
  </si>
  <si>
    <t>43112420020618003x</t>
  </si>
  <si>
    <t>机械类2204</t>
  </si>
  <si>
    <t>王耀鹏</t>
  </si>
  <si>
    <t>430181200404240052</t>
  </si>
  <si>
    <t>城乡规划2203</t>
  </si>
  <si>
    <t>李政宏</t>
  </si>
  <si>
    <t>430104200410110614</t>
  </si>
  <si>
    <t>专专业过来</t>
  </si>
  <si>
    <t>校外住宿</t>
  </si>
  <si>
    <t>株洲市天元区未来城2栋2027</t>
  </si>
  <si>
    <t>父母离异</t>
  </si>
  <si>
    <t>张柯</t>
  </si>
  <si>
    <r>
      <rPr>
        <sz val="11"/>
        <color rgb="FF000000"/>
        <rFont val="宋体"/>
        <charset val="134"/>
        <scheme val="minor"/>
      </rPr>
      <t>371725200409111678</t>
    </r>
  </si>
  <si>
    <r>
      <rPr>
        <sz val="11"/>
        <color rgb="FF000000"/>
        <rFont val="宋体"/>
        <charset val="134"/>
        <scheme val="minor"/>
      </rPr>
      <t>包装工程2206</t>
    </r>
  </si>
  <si>
    <r>
      <rPr>
        <sz val="11"/>
        <color rgb="FF000000"/>
        <rFont val="宋体"/>
        <charset val="134"/>
        <scheme val="minor"/>
      </rPr>
      <t>山东菏泽</t>
    </r>
  </si>
  <si>
    <r>
      <rPr>
        <sz val="11"/>
        <color rgb="FF000000"/>
        <rFont val="宋体"/>
        <charset val="134"/>
        <scheme val="minor"/>
      </rPr>
      <t>团员</t>
    </r>
  </si>
  <si>
    <r>
      <rPr>
        <sz val="11"/>
        <color rgb="FF000000"/>
        <rFont val="宋体"/>
        <charset val="134"/>
        <scheme val="minor"/>
      </rPr>
      <t>山东省菏泽市郓城县和馨嘉园</t>
    </r>
  </si>
  <si>
    <r>
      <rPr>
        <sz val="11"/>
        <color rgb="FF000000"/>
        <rFont val="宋体"/>
        <charset val="134"/>
        <scheme val="minor"/>
      </rPr>
      <t>山东省菏泽市</t>
    </r>
  </si>
  <si>
    <r>
      <rPr>
        <sz val="11"/>
        <color rgb="FF000000"/>
        <rFont val="宋体"/>
        <charset val="134"/>
        <scheme val="minor"/>
      </rPr>
      <t>不是（排行2）</t>
    </r>
  </si>
  <si>
    <r>
      <rPr>
        <sz val="11"/>
        <color rgb="FF000000"/>
        <rFont val="宋体"/>
        <charset val="134"/>
        <scheme val="minor"/>
      </rPr>
      <t>城镇</t>
    </r>
  </si>
  <si>
    <t>祁嘉诚</t>
  </si>
  <si>
    <r>
      <rPr>
        <sz val="11"/>
        <color rgb="FF000000"/>
        <rFont val="宋体"/>
        <charset val="134"/>
        <scheme val="minor"/>
      </rPr>
      <t>410423200410247313</t>
    </r>
  </si>
  <si>
    <r>
      <rPr>
        <sz val="11"/>
        <color rgb="FF000000"/>
        <rFont val="宋体"/>
        <charset val="134"/>
        <scheme val="minor"/>
      </rPr>
      <t>工程造价2201</t>
    </r>
  </si>
  <si>
    <t>4栋531</t>
  </si>
  <si>
    <r>
      <rPr>
        <sz val="11"/>
        <color rgb="FF000000"/>
        <rFont val="宋体"/>
        <charset val="134"/>
        <scheme val="minor"/>
      </rPr>
      <t>河南平顶山</t>
    </r>
  </si>
  <si>
    <r>
      <rPr>
        <sz val="11"/>
        <color rgb="FF000000"/>
        <rFont val="宋体"/>
        <charset val="134"/>
        <scheme val="minor"/>
      </rPr>
      <t>河南省平顶山市董周乡石峡沟村</t>
    </r>
  </si>
  <si>
    <r>
      <rPr>
        <sz val="11"/>
        <color rgb="FF000000"/>
        <rFont val="宋体"/>
        <charset val="134"/>
        <scheme val="minor"/>
      </rPr>
      <t>河南省平顶山市</t>
    </r>
  </si>
  <si>
    <r>
      <rPr>
        <sz val="11"/>
        <color rgb="FF000000"/>
        <rFont val="宋体"/>
        <charset val="134"/>
        <scheme val="minor"/>
      </rPr>
      <t>不是(排行1)</t>
    </r>
  </si>
  <si>
    <r>
      <rPr>
        <sz val="11"/>
        <color rgb="FF000000"/>
        <rFont val="宋体"/>
        <charset val="134"/>
        <scheme val="minor"/>
      </rPr>
      <t>农村</t>
    </r>
  </si>
  <si>
    <t>夏晓帆</t>
  </si>
  <si>
    <r>
      <rPr>
        <sz val="11"/>
        <color rgb="FF000000"/>
        <rFont val="宋体"/>
        <charset val="134"/>
        <scheme val="minor"/>
      </rPr>
      <t>430903200407083018</t>
    </r>
  </si>
  <si>
    <r>
      <rPr>
        <sz val="11"/>
        <color rgb="FF000000"/>
        <rFont val="宋体"/>
        <charset val="134"/>
        <scheme val="minor"/>
      </rPr>
      <t>环境生态2201</t>
    </r>
  </si>
  <si>
    <t>4栋303</t>
  </si>
  <si>
    <r>
      <rPr>
        <sz val="11"/>
        <color rgb="FF000000"/>
        <rFont val="宋体"/>
        <charset val="134"/>
        <scheme val="minor"/>
      </rPr>
      <t>湖南益阳</t>
    </r>
  </si>
  <si>
    <r>
      <rPr>
        <sz val="11"/>
        <color rgb="FF000000"/>
        <rFont val="宋体"/>
        <charset val="134"/>
        <scheme val="minor"/>
      </rPr>
      <t>广东省广州市白云区人和镇蚌湖村</t>
    </r>
  </si>
  <si>
    <r>
      <rPr>
        <sz val="11"/>
        <color rgb="FF000000"/>
        <rFont val="宋体"/>
        <charset val="134"/>
        <scheme val="minor"/>
      </rPr>
      <t>湖南省益阳市</t>
    </r>
  </si>
  <si>
    <r>
      <rPr>
        <sz val="11"/>
        <color rgb="FF000000"/>
        <rFont val="宋体"/>
        <charset val="134"/>
        <scheme val="minor"/>
      </rPr>
      <t>不是</t>
    </r>
  </si>
  <si>
    <r>
      <rPr>
        <sz val="11"/>
        <color rgb="FF000000"/>
        <rFont val="宋体"/>
        <charset val="134"/>
        <scheme val="minor"/>
      </rPr>
      <t>父母扶养长大</t>
    </r>
  </si>
  <si>
    <t>席玉朋</t>
  </si>
  <si>
    <r>
      <rPr>
        <sz val="11"/>
        <color rgb="FF000000"/>
        <rFont val="宋体"/>
        <charset val="134"/>
        <scheme val="minor"/>
      </rPr>
      <t>410526200410030098</t>
    </r>
  </si>
  <si>
    <r>
      <rPr>
        <sz val="11"/>
        <color rgb="FF000000"/>
        <rFont val="宋体"/>
        <charset val="134"/>
        <scheme val="minor"/>
      </rPr>
      <t>包装工程2205</t>
    </r>
  </si>
  <si>
    <t>5栋424</t>
  </si>
  <si>
    <r>
      <rPr>
        <sz val="11"/>
        <color rgb="FF000000"/>
        <rFont val="宋体"/>
        <charset val="134"/>
        <scheme val="minor"/>
      </rPr>
      <t>河南安阳</t>
    </r>
  </si>
  <si>
    <r>
      <rPr>
        <sz val="11"/>
        <color rgb="FF000000"/>
        <rFont val="宋体"/>
        <charset val="134"/>
        <scheme val="minor"/>
      </rPr>
      <t>河南省滑县高平镇梁西村124号</t>
    </r>
  </si>
  <si>
    <r>
      <rPr>
        <sz val="11"/>
        <color rgb="FF000000"/>
        <rFont val="宋体"/>
        <charset val="134"/>
        <scheme val="minor"/>
      </rPr>
      <t>河南省安阳市</t>
    </r>
  </si>
  <si>
    <t>何健豪</t>
  </si>
  <si>
    <r>
      <rPr>
        <sz val="11"/>
        <color rgb="FF000000"/>
        <rFont val="宋体"/>
        <charset val="134"/>
        <scheme val="minor"/>
      </rPr>
      <t>430521200311144956</t>
    </r>
  </si>
  <si>
    <r>
      <rPr>
        <sz val="11"/>
        <color rgb="FF000000"/>
        <rFont val="宋体"/>
        <charset val="134"/>
        <scheme val="minor"/>
      </rPr>
      <t>环境生态2203</t>
    </r>
  </si>
  <si>
    <t>2栋117</t>
  </si>
  <si>
    <r>
      <rPr>
        <sz val="11"/>
        <color rgb="FF000000"/>
        <rFont val="宋体"/>
        <charset val="134"/>
        <scheme val="minor"/>
      </rPr>
      <t>湖南省怀化市沅陵县辰州东街</t>
    </r>
  </si>
  <si>
    <r>
      <rPr>
        <sz val="11"/>
        <color rgb="FF000000"/>
        <rFont val="宋体"/>
        <charset val="134"/>
        <scheme val="minor"/>
      </rPr>
      <t>湖南省邵阳市</t>
    </r>
  </si>
  <si>
    <t>刘春阳</t>
  </si>
  <si>
    <t>430529200203080000</t>
  </si>
  <si>
    <t>网络工程2101</t>
  </si>
  <si>
    <t>4栋525</t>
  </si>
  <si>
    <t>湖南省邵阳市城步苗族自治县</t>
  </si>
  <si>
    <t>杨少聪</t>
  </si>
  <si>
    <t>420303200310130012</t>
  </si>
  <si>
    <t>网络工程2101班</t>
  </si>
  <si>
    <t>26栋235</t>
  </si>
  <si>
    <t>湖北十堰</t>
  </si>
  <si>
    <t>湖南省株洲市天元区泰山路湖南工业大学西苑26栋235</t>
  </si>
  <si>
    <t>湖北省十堰市</t>
  </si>
  <si>
    <t>父母扶养长大</t>
  </si>
  <si>
    <t>慢性肠胃炎</t>
  </si>
  <si>
    <t>目前挂科12门</t>
  </si>
  <si>
    <t>郭思宇</t>
  </si>
  <si>
    <t>610122200408031411</t>
  </si>
  <si>
    <t>19158728627</t>
  </si>
  <si>
    <t>网工2201</t>
  </si>
  <si>
    <t>8-107</t>
  </si>
  <si>
    <t>陕西省西安市新城区长乐中路街道黄河住宅东区224</t>
  </si>
  <si>
    <t>陕西省西安市</t>
  </si>
  <si>
    <t>不是</t>
  </si>
  <si>
    <t>奶奶抚养长大</t>
  </si>
  <si>
    <t>去世</t>
  </si>
  <si>
    <t>王洋</t>
  </si>
  <si>
    <t>430524200410060327</t>
  </si>
  <si>
    <t>电子商务2201</t>
  </si>
  <si>
    <t>7栋</t>
  </si>
  <si>
    <t>7栋608</t>
  </si>
  <si>
    <t>湖南省邵阳市隆回县大桥路45号</t>
  </si>
  <si>
    <t>湖南邵阳市隆回县</t>
  </si>
  <si>
    <t>张司景</t>
  </si>
  <si>
    <t>430121200403144812</t>
  </si>
  <si>
    <t>土木大类2205</t>
  </si>
  <si>
    <t>28栋</t>
  </si>
  <si>
    <t>28栋116</t>
  </si>
  <si>
    <t>湖南省长沙市长沙县恒广国际景园5栋二单元</t>
  </si>
  <si>
    <t>湖南省长沙市长沙县</t>
  </si>
  <si>
    <t>蒋涛</t>
  </si>
  <si>
    <t>431123200403210019</t>
  </si>
  <si>
    <t>计算机大类2206</t>
  </si>
  <si>
    <t>28栋115</t>
  </si>
  <si>
    <t>湖南省永州市双牌县茶林乡</t>
  </si>
  <si>
    <t>曹靖</t>
  </si>
  <si>
    <t>431023200308310059</t>
  </si>
  <si>
    <t>计算机大类 2101</t>
  </si>
  <si>
    <t>6 栋</t>
  </si>
  <si>
    <t>6 栋 235</t>
  </si>
  <si>
    <t>湖南省郴州市</t>
  </si>
  <si>
    <t>庄琪智</t>
  </si>
  <si>
    <t>440883200303230333</t>
  </si>
  <si>
    <t>四栋</t>
  </si>
  <si>
    <t>广东湛江</t>
  </si>
  <si>
    <t>广东省湛江市吴川市梅菉街道糖厂西二巷9号</t>
  </si>
  <si>
    <t>徐才政</t>
  </si>
  <si>
    <t>130581200302056810</t>
  </si>
  <si>
    <t>物联网2101</t>
  </si>
  <si>
    <t>5栋108</t>
  </si>
  <si>
    <t>河北省邢台市南宫市紫冢镇东六方村</t>
  </si>
  <si>
    <t>目前挂科3门。二级库</t>
  </si>
  <si>
    <t>张哲</t>
  </si>
  <si>
    <t>431103200310163799</t>
  </si>
  <si>
    <t>六栋</t>
  </si>
  <si>
    <t>广西壮族自治区桂林市阳朔县白沙镇兴旺街319</t>
  </si>
  <si>
    <t>广西桂林</t>
  </si>
  <si>
    <t>刘琰</t>
  </si>
  <si>
    <t>430122200201015218</t>
  </si>
  <si>
    <t>物联网2001</t>
  </si>
  <si>
    <t>6栋113</t>
  </si>
  <si>
    <t>湖南省长沙市望城区山水英伦庄园格林区18栋302</t>
  </si>
  <si>
    <t>目前挂科6门，经济诈骗2万，二级库</t>
  </si>
  <si>
    <t>刘经天</t>
  </si>
  <si>
    <t>513901200209015233</t>
  </si>
  <si>
    <t>四川成都</t>
  </si>
  <si>
    <t>未婚</t>
  </si>
  <si>
    <t>目前挂科7门、二级库</t>
  </si>
  <si>
    <t>曾杰</t>
  </si>
  <si>
    <t>430521200412206853</t>
  </si>
  <si>
    <t>大类2205</t>
  </si>
  <si>
    <t>湖南省常德市武陵区五强溪小区</t>
  </si>
  <si>
    <t>不是（排行1）</t>
  </si>
  <si>
    <t>王攀</t>
  </si>
  <si>
    <t>410182200407200000</t>
  </si>
  <si>
    <t>河南新密</t>
  </si>
  <si>
    <t>河南省郑州市荥阳市贾峪镇</t>
  </si>
  <si>
    <t>不是（排行3）</t>
  </si>
  <si>
    <t>康清晨</t>
  </si>
  <si>
    <t>411503200202042015</t>
  </si>
  <si>
    <t>物联网2102</t>
  </si>
  <si>
    <t>25栋119</t>
  </si>
  <si>
    <t>河南信阳</t>
  </si>
  <si>
    <t>信阳市平桥区龙飞山街道</t>
  </si>
  <si>
    <t>目前挂科5门，二级库</t>
  </si>
  <si>
    <t>罗廷鸿</t>
  </si>
  <si>
    <t>630104200210181036</t>
  </si>
  <si>
    <t>19891934624</t>
  </si>
  <si>
    <t>13909787242</t>
  </si>
  <si>
    <t>13709754907</t>
  </si>
  <si>
    <t>青海西宁</t>
  </si>
  <si>
    <t>青海省西宁市城西区沈家寨新村</t>
  </si>
  <si>
    <t>青海省西宁市城中区</t>
  </si>
  <si>
    <t>痛风</t>
  </si>
  <si>
    <t>向卓</t>
  </si>
  <si>
    <t>431224200304030233</t>
  </si>
  <si>
    <t>19974540917</t>
  </si>
  <si>
    <t>20030403</t>
  </si>
  <si>
    <t/>
  </si>
  <si>
    <t>溆浦县第一中学</t>
  </si>
  <si>
    <t>令狐金涛</t>
  </si>
  <si>
    <t>522122200310181614</t>
  </si>
  <si>
    <t>18275492962</t>
  </si>
  <si>
    <t>20031018</t>
  </si>
  <si>
    <t>贵州省遵义市桐梓县娄山关镇工农街道</t>
  </si>
  <si>
    <t>徐思宇</t>
  </si>
  <si>
    <t>362229200212151024</t>
  </si>
  <si>
    <t>18296948315</t>
  </si>
  <si>
    <t>20021215</t>
  </si>
  <si>
    <t>宜丰县新庄镇宋家村徐家</t>
  </si>
  <si>
    <t>431227200108016919</t>
  </si>
  <si>
    <t>20010801</t>
  </si>
  <si>
    <t>湖南省怀化市新晃侗族自治县梅林春天22栋303</t>
  </si>
  <si>
    <t>方怡豪</t>
  </si>
  <si>
    <t>340824200401313817</t>
  </si>
  <si>
    <t>13552528389</t>
  </si>
  <si>
    <t>20040131</t>
  </si>
  <si>
    <t>安徽省安庆市潜山市源潭镇财富小区6号楼一单元402</t>
  </si>
  <si>
    <t>郭世辉</t>
  </si>
  <si>
    <t>431321200304271594</t>
  </si>
  <si>
    <t>13117485568</t>
  </si>
  <si>
    <t>20030427</t>
  </si>
  <si>
    <t>湖南省娄底市双峰县青树坪镇华国塘村新街组</t>
  </si>
  <si>
    <t>袁一翔</t>
  </si>
  <si>
    <t>计算机2201</t>
  </si>
  <si>
    <t>430527200409040010</t>
  </si>
  <si>
    <t>湖南省邵阳市绥宁县长铺镇中心街13号绥宁县新华书店</t>
  </si>
  <si>
    <t>休学</t>
  </si>
  <si>
    <t>苏崇雨</t>
  </si>
  <si>
    <t>430682200205110056</t>
  </si>
  <si>
    <t>湖南省 岳阳市 临湘市 三角坪 莲花巷 28号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</si>
</sst>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2"/>
      <name val="等线"/>
      <charset val="134"/>
    </font>
    <font>
      <sz val="11"/>
      <color rgb="FF0070C0"/>
      <name val="宋体"/>
      <charset val="134"/>
      <scheme val="minor"/>
    </font>
    <font>
      <sz val="11"/>
      <name val="宋体"/>
      <charset val="134"/>
    </font>
    <font>
      <sz val="11"/>
      <color rgb="FFFF0000"/>
      <name val="宋体"/>
      <charset val="134"/>
      <scheme val="minor"/>
    </font>
    <font>
      <b/>
      <sz val="12"/>
      <color rgb="FFFF0000"/>
      <name val="等线"/>
      <charset val="134"/>
    </font>
    <font>
      <sz val="11"/>
      <name val="等线"/>
      <charset val="134"/>
    </font>
    <font>
      <sz val="11"/>
      <color rgb="FFFF0000"/>
      <name val="等线"/>
      <charset val="134"/>
    </font>
    <font>
      <sz val="11"/>
      <color rgb="FF0070C0"/>
      <name val="等线"/>
      <charset val="134"/>
    </font>
    <font>
      <sz val="11"/>
      <color rgb="FF000000"/>
      <name val="等线"/>
      <charset val="134"/>
    </font>
    <font>
      <sz val="11"/>
      <color rgb="FF000000"/>
      <name val="宋体"/>
      <charset val="134"/>
      <scheme val="minor"/>
    </font>
    <font>
      <sz val="11"/>
      <color rgb="FFFF0000"/>
      <name val="宋体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6" borderId="6" applyNumberFormat="0" applyAlignment="0" applyProtection="0">
      <alignment vertical="center"/>
    </xf>
    <xf numFmtId="0" fontId="23" fillId="6" borderId="5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/>
    </xf>
    <xf numFmtId="0" fontId="0" fillId="0" borderId="0" xfId="0" applyBorder="1">
      <alignment vertical="center"/>
    </xf>
    <xf numFmtId="0" fontId="2" fillId="0" borderId="0" xfId="0" applyFont="1" applyBorder="1">
      <alignment vertical="center"/>
    </xf>
    <xf numFmtId="0" fontId="0" fillId="0" borderId="0" xfId="0" applyFill="1" applyBorder="1">
      <alignment vertical="center"/>
    </xf>
    <xf numFmtId="0" fontId="3" fillId="0" borderId="0" xfId="0" applyFont="1" applyFill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6" fillId="0" borderId="1" xfId="0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/>
    </xf>
    <xf numFmtId="0" fontId="8" fillId="0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49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/>
    </xf>
    <xf numFmtId="49" fontId="0" fillId="0" borderId="1" xfId="0" applyNumberForma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49" fontId="12" fillId="0" borderId="0" xfId="0" applyNumberFormat="1" applyFont="1" applyFill="1" applyBorder="1" applyAlignment="1">
      <alignment horizontal="center"/>
    </xf>
    <xf numFmtId="0" fontId="0" fillId="0" borderId="1" xfId="0" applyBorder="1" applyAlignment="1" quotePrefix="1">
      <alignment horizontal="center" vertical="center"/>
    </xf>
    <xf numFmtId="0" fontId="2" fillId="0" borderId="1" xfId="0" applyFont="1" applyBorder="1" applyAlignment="1" quotePrefix="1">
      <alignment horizontal="center" vertical="center"/>
    </xf>
    <xf numFmtId="0" fontId="0" fillId="0" borderId="1" xfId="0" applyFill="1" applyBorder="1" applyAlignment="1" quotePrefix="1">
      <alignment horizontal="center" vertical="center"/>
    </xf>
    <xf numFmtId="0" fontId="3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\code\AI\&#20854;&#20182;\&#25104;&#32489;&#33050;&#26412;\&#35745;&#31639;&#25346;&#31185;&#27425;&#25968;\22&#35745;&#31185;&#12289;&#29289;&#32852;&#32593;&#12289;&#32593;&#24037;&#23398;&#29983;&#25346;&#31185;&#32479;&#35745;&#32467;&#2652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2">
          <cell r="A2">
            <v>20403000125</v>
          </cell>
          <cell r="B2" t="str">
            <v>王凌波</v>
          </cell>
          <cell r="C2" t="str">
            <v>计算机2201</v>
          </cell>
          <cell r="D2">
            <v>0</v>
          </cell>
          <cell r="E2" t="str">
            <v>无</v>
          </cell>
          <cell r="F2" t="str">
            <v>无</v>
          </cell>
        </row>
        <row r="3">
          <cell r="A3">
            <v>20450000004</v>
          </cell>
          <cell r="B3" t="str">
            <v>比拉力江·阿布力孜</v>
          </cell>
          <cell r="C3" t="str">
            <v>计算机2203</v>
          </cell>
          <cell r="D3">
            <v>0</v>
          </cell>
          <cell r="E3" t="str">
            <v>无</v>
          </cell>
          <cell r="F3" t="str">
            <v>特别困难</v>
          </cell>
        </row>
        <row r="4">
          <cell r="A4">
            <v>21403000225</v>
          </cell>
          <cell r="B4" t="str">
            <v>苏崇雨</v>
          </cell>
          <cell r="C4" t="str">
            <v>计算机2101</v>
          </cell>
          <cell r="D4">
            <v>0</v>
          </cell>
          <cell r="E4" t="str">
            <v>无</v>
          </cell>
          <cell r="F4" t="str">
            <v>无</v>
          </cell>
        </row>
        <row r="5">
          <cell r="A5">
            <v>21403110114</v>
          </cell>
          <cell r="B5" t="str">
            <v>廖航</v>
          </cell>
          <cell r="C5" t="str">
            <v>计算机2201</v>
          </cell>
          <cell r="D5">
            <v>5</v>
          </cell>
          <cell r="E5" t="str">
            <v>Java web程序设计,Python程序设计,数据分析方法,计算机操作系统,计算机网络</v>
          </cell>
          <cell r="F5" t="str">
            <v>无</v>
          </cell>
        </row>
        <row r="6">
          <cell r="A6">
            <v>21450150103</v>
          </cell>
          <cell r="B6" t="str">
            <v>蔡盛</v>
          </cell>
          <cell r="C6" t="str">
            <v>计算机2203</v>
          </cell>
          <cell r="D6">
            <v>0</v>
          </cell>
          <cell r="E6" t="str">
            <v>无</v>
          </cell>
          <cell r="F6" t="str">
            <v>无</v>
          </cell>
        </row>
        <row r="7">
          <cell r="A7">
            <v>21450150136</v>
          </cell>
          <cell r="B7" t="str">
            <v>于潇天</v>
          </cell>
          <cell r="C7" t="str">
            <v>计算机2203</v>
          </cell>
          <cell r="D7">
            <v>0</v>
          </cell>
          <cell r="E7" t="str">
            <v>无</v>
          </cell>
          <cell r="F7" t="str">
            <v>无</v>
          </cell>
        </row>
        <row r="8">
          <cell r="A8">
            <v>21450150201</v>
          </cell>
          <cell r="B8" t="str">
            <v>安孜尔江·吾买尔江</v>
          </cell>
          <cell r="C8" t="str">
            <v>计算机2203</v>
          </cell>
          <cell r="D8">
            <v>0</v>
          </cell>
          <cell r="E8" t="str">
            <v>无</v>
          </cell>
          <cell r="F8" t="str">
            <v>无</v>
          </cell>
        </row>
        <row r="9">
          <cell r="A9">
            <v>21450150203</v>
          </cell>
          <cell r="B9" t="str">
            <v>范怡</v>
          </cell>
          <cell r="C9" t="str">
            <v>计算机2203</v>
          </cell>
          <cell r="D9">
            <v>0</v>
          </cell>
          <cell r="E9" t="str">
            <v>无</v>
          </cell>
          <cell r="F9" t="str">
            <v>特别困难</v>
          </cell>
        </row>
        <row r="10">
          <cell r="A10">
            <v>21450150204</v>
          </cell>
          <cell r="B10" t="str">
            <v>关祥冬</v>
          </cell>
          <cell r="C10" t="str">
            <v>计算机2203</v>
          </cell>
          <cell r="D10">
            <v>1</v>
          </cell>
          <cell r="E10" t="str">
            <v>汇编语言程序设计</v>
          </cell>
          <cell r="F10" t="str">
            <v>无</v>
          </cell>
        </row>
        <row r="11">
          <cell r="A11">
            <v>21450150212</v>
          </cell>
          <cell r="B11" t="str">
            <v>黎恩泽</v>
          </cell>
          <cell r="C11" t="str">
            <v>计算机2203</v>
          </cell>
          <cell r="D11">
            <v>0</v>
          </cell>
          <cell r="E11" t="str">
            <v>无</v>
          </cell>
          <cell r="F11" t="str">
            <v>无</v>
          </cell>
        </row>
        <row r="12">
          <cell r="A12">
            <v>21450150217</v>
          </cell>
          <cell r="B12" t="str">
            <v>刘力贤</v>
          </cell>
          <cell r="C12" t="str">
            <v>计算机2203</v>
          </cell>
          <cell r="D12">
            <v>0</v>
          </cell>
          <cell r="E12" t="str">
            <v>无</v>
          </cell>
          <cell r="F12" t="str">
            <v>无</v>
          </cell>
        </row>
        <row r="13">
          <cell r="A13">
            <v>21450150223</v>
          </cell>
          <cell r="B13" t="str">
            <v>田瑾</v>
          </cell>
          <cell r="C13" t="str">
            <v>计算机2203</v>
          </cell>
          <cell r="D13">
            <v>0</v>
          </cell>
          <cell r="E13" t="str">
            <v>无</v>
          </cell>
          <cell r="F13" t="str">
            <v>一般困难</v>
          </cell>
        </row>
        <row r="14">
          <cell r="A14">
            <v>21450150225</v>
          </cell>
          <cell r="B14" t="str">
            <v>王炫烨</v>
          </cell>
          <cell r="C14" t="str">
            <v>计算机2203</v>
          </cell>
          <cell r="D14">
            <v>0</v>
          </cell>
          <cell r="E14" t="str">
            <v>无</v>
          </cell>
          <cell r="F14" t="str">
            <v>无</v>
          </cell>
        </row>
        <row r="15">
          <cell r="A15">
            <v>21450150230</v>
          </cell>
          <cell r="B15" t="str">
            <v>杨玉华</v>
          </cell>
          <cell r="C15" t="str">
            <v>计算机2203</v>
          </cell>
          <cell r="D15">
            <v>0</v>
          </cell>
          <cell r="E15" t="str">
            <v>无</v>
          </cell>
          <cell r="F15" t="str">
            <v>无</v>
          </cell>
        </row>
        <row r="16">
          <cell r="A16">
            <v>21450150308</v>
          </cell>
          <cell r="B16" t="str">
            <v>黄依丹</v>
          </cell>
          <cell r="C16" t="str">
            <v>计算机2203</v>
          </cell>
          <cell r="D16">
            <v>0</v>
          </cell>
          <cell r="E16" t="str">
            <v>无</v>
          </cell>
          <cell r="F16" t="str">
            <v>无</v>
          </cell>
        </row>
        <row r="17">
          <cell r="A17">
            <v>21450150312</v>
          </cell>
          <cell r="B17" t="str">
            <v>李行</v>
          </cell>
          <cell r="C17" t="str">
            <v>计算机2203</v>
          </cell>
          <cell r="D17">
            <v>0</v>
          </cell>
          <cell r="E17" t="str">
            <v>无</v>
          </cell>
          <cell r="F17" t="str">
            <v>无</v>
          </cell>
        </row>
        <row r="18">
          <cell r="A18">
            <v>21450150324</v>
          </cell>
          <cell r="B18" t="str">
            <v>欧永京</v>
          </cell>
          <cell r="C18" t="str">
            <v>计算机2203</v>
          </cell>
          <cell r="D18">
            <v>0</v>
          </cell>
          <cell r="E18" t="str">
            <v>无</v>
          </cell>
          <cell r="F18" t="str">
            <v>困难</v>
          </cell>
        </row>
        <row r="19">
          <cell r="A19">
            <v>21450150328</v>
          </cell>
          <cell r="B19" t="str">
            <v>田青青</v>
          </cell>
          <cell r="C19" t="str">
            <v>计算机2203</v>
          </cell>
          <cell r="D19">
            <v>0</v>
          </cell>
          <cell r="E19" t="str">
            <v>无</v>
          </cell>
          <cell r="F19" t="str">
            <v>特别困难</v>
          </cell>
        </row>
        <row r="20">
          <cell r="A20">
            <v>21450150331</v>
          </cell>
          <cell r="B20" t="str">
            <v>杨桐</v>
          </cell>
          <cell r="C20" t="str">
            <v>计算机2203</v>
          </cell>
          <cell r="D20">
            <v>0</v>
          </cell>
          <cell r="E20" t="str">
            <v>无</v>
          </cell>
          <cell r="F20" t="str">
            <v>无</v>
          </cell>
        </row>
        <row r="21">
          <cell r="A21">
            <v>21450150334</v>
          </cell>
          <cell r="B21" t="str">
            <v>张家仪</v>
          </cell>
          <cell r="C21" t="str">
            <v>计算机2203</v>
          </cell>
          <cell r="D21">
            <v>0</v>
          </cell>
          <cell r="E21" t="str">
            <v>无</v>
          </cell>
          <cell r="F21" t="str">
            <v>特别困难</v>
          </cell>
        </row>
        <row r="22">
          <cell r="A22">
            <v>21450150336</v>
          </cell>
          <cell r="B22" t="str">
            <v>周娜</v>
          </cell>
          <cell r="C22" t="str">
            <v>计算机2203</v>
          </cell>
          <cell r="D22">
            <v>0</v>
          </cell>
          <cell r="E22" t="str">
            <v>无</v>
          </cell>
          <cell r="F22" t="str">
            <v>特别困难</v>
          </cell>
        </row>
        <row r="23">
          <cell r="A23">
            <v>21450150338</v>
          </cell>
          <cell r="B23" t="str">
            <v>邹惠</v>
          </cell>
          <cell r="C23" t="str">
            <v>计算机2203</v>
          </cell>
          <cell r="D23">
            <v>0</v>
          </cell>
          <cell r="E23" t="str">
            <v>无</v>
          </cell>
          <cell r="F23" t="str">
            <v>一般困难</v>
          </cell>
        </row>
        <row r="24">
          <cell r="A24">
            <v>21450150402</v>
          </cell>
          <cell r="B24" t="str">
            <v>陈微</v>
          </cell>
          <cell r="C24" t="str">
            <v>计算机2203</v>
          </cell>
          <cell r="D24">
            <v>0</v>
          </cell>
          <cell r="E24" t="str">
            <v>无</v>
          </cell>
          <cell r="F24" t="str">
            <v>困难</v>
          </cell>
        </row>
        <row r="25">
          <cell r="A25">
            <v>21450150412</v>
          </cell>
          <cell r="B25" t="str">
            <v>刘华霖</v>
          </cell>
          <cell r="C25" t="str">
            <v>计算机2203</v>
          </cell>
          <cell r="D25">
            <v>0</v>
          </cell>
          <cell r="E25" t="str">
            <v>无</v>
          </cell>
          <cell r="F25" t="str">
            <v>无</v>
          </cell>
        </row>
        <row r="26">
          <cell r="A26">
            <v>21450150426</v>
          </cell>
          <cell r="B26" t="str">
            <v>杨峻浩</v>
          </cell>
          <cell r="C26" t="str">
            <v>计算机2203</v>
          </cell>
          <cell r="D26">
            <v>0</v>
          </cell>
          <cell r="E26" t="str">
            <v>无</v>
          </cell>
          <cell r="F26" t="str">
            <v>一般困难</v>
          </cell>
        </row>
        <row r="27">
          <cell r="A27">
            <v>21450150428</v>
          </cell>
          <cell r="B27" t="str">
            <v>杨泰</v>
          </cell>
          <cell r="C27" t="str">
            <v>计算机2203</v>
          </cell>
          <cell r="D27">
            <v>0</v>
          </cell>
          <cell r="E27" t="str">
            <v>无</v>
          </cell>
          <cell r="F27" t="str">
            <v>无</v>
          </cell>
        </row>
        <row r="28">
          <cell r="A28">
            <v>21450150429</v>
          </cell>
          <cell r="B28" t="str">
            <v>杨旭</v>
          </cell>
          <cell r="C28" t="str">
            <v>计算机2203</v>
          </cell>
          <cell r="D28">
            <v>0</v>
          </cell>
          <cell r="E28" t="str">
            <v>无</v>
          </cell>
          <cell r="F28" t="str">
            <v>无</v>
          </cell>
        </row>
        <row r="29">
          <cell r="A29">
            <v>21450150432</v>
          </cell>
          <cell r="B29" t="str">
            <v>姚祖杰</v>
          </cell>
          <cell r="C29" t="str">
            <v>计算机2203</v>
          </cell>
          <cell r="D29">
            <v>0</v>
          </cell>
          <cell r="E29" t="str">
            <v>无</v>
          </cell>
          <cell r="F29" t="str">
            <v>无</v>
          </cell>
        </row>
        <row r="30">
          <cell r="A30">
            <v>21450150511</v>
          </cell>
          <cell r="B30" t="str">
            <v>何鹏</v>
          </cell>
          <cell r="C30" t="str">
            <v>计算机2203</v>
          </cell>
          <cell r="D30">
            <v>0</v>
          </cell>
          <cell r="E30" t="str">
            <v>无</v>
          </cell>
          <cell r="F30" t="str">
            <v>无</v>
          </cell>
        </row>
        <row r="31">
          <cell r="A31">
            <v>21450150512</v>
          </cell>
          <cell r="B31" t="str">
            <v>何子睿</v>
          </cell>
          <cell r="C31" t="str">
            <v>计算机2203</v>
          </cell>
          <cell r="D31">
            <v>0</v>
          </cell>
          <cell r="E31" t="str">
            <v>无</v>
          </cell>
          <cell r="F31" t="str">
            <v>无</v>
          </cell>
        </row>
        <row r="32">
          <cell r="A32">
            <v>21450150531</v>
          </cell>
          <cell r="B32" t="str">
            <v>唐安华</v>
          </cell>
          <cell r="C32" t="str">
            <v>计算机2203</v>
          </cell>
          <cell r="D32">
            <v>0</v>
          </cell>
          <cell r="E32" t="str">
            <v>无</v>
          </cell>
          <cell r="F32" t="str">
            <v>无</v>
          </cell>
        </row>
        <row r="33">
          <cell r="A33">
            <v>21450150535</v>
          </cell>
          <cell r="B33" t="str">
            <v>杨雯</v>
          </cell>
          <cell r="C33" t="str">
            <v>计算机2203</v>
          </cell>
          <cell r="D33">
            <v>1</v>
          </cell>
          <cell r="E33" t="str">
            <v>算法设计与分析</v>
          </cell>
          <cell r="F33" t="str">
            <v>无</v>
          </cell>
        </row>
        <row r="34">
          <cell r="A34">
            <v>21450150605</v>
          </cell>
          <cell r="B34" t="str">
            <v>邓璐</v>
          </cell>
          <cell r="C34" t="str">
            <v>计算机2203</v>
          </cell>
          <cell r="D34">
            <v>0</v>
          </cell>
          <cell r="E34" t="str">
            <v>无</v>
          </cell>
          <cell r="F34" t="str">
            <v>无</v>
          </cell>
        </row>
        <row r="35">
          <cell r="A35">
            <v>21450150610</v>
          </cell>
          <cell r="B35" t="str">
            <v>胡焱夫</v>
          </cell>
          <cell r="C35" t="str">
            <v>计算机2203</v>
          </cell>
          <cell r="D35">
            <v>0</v>
          </cell>
          <cell r="E35" t="str">
            <v>无</v>
          </cell>
          <cell r="F35" t="str">
            <v>无</v>
          </cell>
        </row>
        <row r="36">
          <cell r="A36">
            <v>21450150611</v>
          </cell>
          <cell r="B36" t="str">
            <v>黄敏</v>
          </cell>
          <cell r="C36" t="str">
            <v>计算机2203</v>
          </cell>
          <cell r="D36">
            <v>0</v>
          </cell>
          <cell r="E36" t="str">
            <v>无</v>
          </cell>
          <cell r="F36" t="str">
            <v>无</v>
          </cell>
        </row>
        <row r="37">
          <cell r="A37">
            <v>21450150620</v>
          </cell>
          <cell r="B37" t="str">
            <v>彭寒杏</v>
          </cell>
          <cell r="C37" t="str">
            <v>计算机2203</v>
          </cell>
          <cell r="D37">
            <v>0</v>
          </cell>
          <cell r="E37" t="str">
            <v>无</v>
          </cell>
          <cell r="F37" t="str">
            <v>困难</v>
          </cell>
        </row>
        <row r="38">
          <cell r="A38">
            <v>21450150631</v>
          </cell>
          <cell r="B38" t="str">
            <v>杨欢</v>
          </cell>
          <cell r="C38" t="str">
            <v>计算机2203</v>
          </cell>
          <cell r="D38">
            <v>0</v>
          </cell>
          <cell r="E38" t="str">
            <v>无</v>
          </cell>
          <cell r="F38" t="str">
            <v>无</v>
          </cell>
        </row>
        <row r="39">
          <cell r="A39">
            <v>21450150633</v>
          </cell>
          <cell r="B39" t="str">
            <v>杨洋</v>
          </cell>
          <cell r="C39" t="str">
            <v>计算机2203</v>
          </cell>
          <cell r="D39">
            <v>0</v>
          </cell>
          <cell r="E39" t="str">
            <v>无</v>
          </cell>
          <cell r="F39" t="str">
            <v>无</v>
          </cell>
        </row>
        <row r="40">
          <cell r="A40">
            <v>21450150705</v>
          </cell>
          <cell r="B40" t="str">
            <v>冯玲</v>
          </cell>
          <cell r="C40" t="str">
            <v>计算机2203</v>
          </cell>
          <cell r="D40">
            <v>0</v>
          </cell>
          <cell r="E40" t="str">
            <v>无</v>
          </cell>
          <cell r="F40" t="str">
            <v>困难</v>
          </cell>
        </row>
        <row r="41">
          <cell r="A41">
            <v>21450150712</v>
          </cell>
          <cell r="B41" t="str">
            <v>黄历</v>
          </cell>
          <cell r="C41" t="str">
            <v>计算机2203</v>
          </cell>
          <cell r="D41">
            <v>0</v>
          </cell>
          <cell r="E41" t="str">
            <v>无</v>
          </cell>
          <cell r="F41" t="str">
            <v>无</v>
          </cell>
        </row>
        <row r="42">
          <cell r="A42">
            <v>21450150721</v>
          </cell>
          <cell r="B42" t="str">
            <v>怕热合·尼亚孜</v>
          </cell>
          <cell r="C42" t="str">
            <v>计算机2203</v>
          </cell>
          <cell r="D42">
            <v>1</v>
          </cell>
          <cell r="E42" t="str">
            <v>算法设计与分析</v>
          </cell>
          <cell r="F42" t="str">
            <v>无</v>
          </cell>
        </row>
        <row r="43">
          <cell r="A43">
            <v>21450150808</v>
          </cell>
          <cell r="B43" t="str">
            <v>胡怡琪</v>
          </cell>
          <cell r="C43" t="str">
            <v>计算机2203</v>
          </cell>
          <cell r="D43">
            <v>0</v>
          </cell>
          <cell r="E43" t="str">
            <v>无</v>
          </cell>
          <cell r="F43" t="str">
            <v>无</v>
          </cell>
        </row>
        <row r="44">
          <cell r="A44">
            <v>21450150813</v>
          </cell>
          <cell r="B44" t="str">
            <v>麻馨语</v>
          </cell>
          <cell r="C44" t="str">
            <v>计算机2203</v>
          </cell>
          <cell r="D44">
            <v>0</v>
          </cell>
          <cell r="E44" t="str">
            <v>无</v>
          </cell>
          <cell r="F44" t="str">
            <v>无</v>
          </cell>
        </row>
        <row r="45">
          <cell r="A45">
            <v>21450150817</v>
          </cell>
          <cell r="B45" t="str">
            <v>聂瑶</v>
          </cell>
          <cell r="C45" t="str">
            <v>计算机2203</v>
          </cell>
          <cell r="D45">
            <v>0</v>
          </cell>
          <cell r="E45" t="str">
            <v>无</v>
          </cell>
          <cell r="F45" t="str">
            <v>无</v>
          </cell>
        </row>
        <row r="46">
          <cell r="A46">
            <v>21450150829</v>
          </cell>
          <cell r="B46" t="str">
            <v>吴正乔</v>
          </cell>
          <cell r="C46" t="str">
            <v>计算机2203</v>
          </cell>
          <cell r="D46">
            <v>0</v>
          </cell>
          <cell r="E46" t="str">
            <v>无</v>
          </cell>
          <cell r="F46" t="str">
            <v>特别困难</v>
          </cell>
        </row>
        <row r="47">
          <cell r="A47">
            <v>22401100133</v>
          </cell>
          <cell r="B47" t="str">
            <v>周弘凯</v>
          </cell>
          <cell r="C47" t="str">
            <v>计算机2202</v>
          </cell>
          <cell r="D47">
            <v>0</v>
          </cell>
          <cell r="E47" t="str">
            <v>无</v>
          </cell>
          <cell r="F47" t="str">
            <v>无</v>
          </cell>
        </row>
        <row r="48">
          <cell r="A48">
            <v>22401200427</v>
          </cell>
          <cell r="B48" t="str">
            <v>王勤</v>
          </cell>
          <cell r="C48" t="str">
            <v>计算机2201</v>
          </cell>
          <cell r="D48">
            <v>0</v>
          </cell>
          <cell r="E48" t="str">
            <v>无</v>
          </cell>
          <cell r="F48" t="str">
            <v>无</v>
          </cell>
        </row>
        <row r="49">
          <cell r="A49">
            <v>22403000314</v>
          </cell>
          <cell r="B49" t="str">
            <v>李少宇</v>
          </cell>
          <cell r="C49" t="str">
            <v>计算机2202</v>
          </cell>
          <cell r="D49">
            <v>1</v>
          </cell>
          <cell r="E49" t="str">
            <v>软件工程</v>
          </cell>
          <cell r="F49" t="str">
            <v>无</v>
          </cell>
        </row>
        <row r="50">
          <cell r="A50">
            <v>22403000537</v>
          </cell>
          <cell r="B50" t="str">
            <v>袁一翔</v>
          </cell>
          <cell r="C50" t="str">
            <v>计算机2201</v>
          </cell>
          <cell r="D50">
            <v>1</v>
          </cell>
          <cell r="E50" t="str">
            <v>计算机操作系统</v>
          </cell>
          <cell r="F50" t="str">
            <v>无</v>
          </cell>
        </row>
        <row r="51">
          <cell r="A51">
            <v>22403000609</v>
          </cell>
          <cell r="B51" t="str">
            <v>黄扬</v>
          </cell>
          <cell r="C51" t="str">
            <v>计算机2201</v>
          </cell>
          <cell r="D51">
            <v>0</v>
          </cell>
          <cell r="E51" t="str">
            <v>无</v>
          </cell>
          <cell r="F51" t="str">
            <v>无</v>
          </cell>
        </row>
        <row r="52">
          <cell r="A52">
            <v>22403420104</v>
          </cell>
          <cell r="B52" t="str">
            <v>龚嘉仪</v>
          </cell>
          <cell r="C52" t="str">
            <v>计算机2202</v>
          </cell>
          <cell r="D52">
            <v>0</v>
          </cell>
          <cell r="E52" t="str">
            <v>无</v>
          </cell>
          <cell r="F52" t="str">
            <v>无</v>
          </cell>
        </row>
        <row r="53">
          <cell r="A53">
            <v>22403420116</v>
          </cell>
          <cell r="B53" t="str">
            <v>罗嘉欣</v>
          </cell>
          <cell r="C53" t="str">
            <v>计算机2202</v>
          </cell>
          <cell r="D53">
            <v>0</v>
          </cell>
          <cell r="E53" t="str">
            <v>无</v>
          </cell>
          <cell r="F53" t="str">
            <v>一般困难</v>
          </cell>
        </row>
        <row r="54">
          <cell r="A54">
            <v>22403420118</v>
          </cell>
          <cell r="B54" t="str">
            <v>祁嘉诚</v>
          </cell>
          <cell r="C54" t="str">
            <v>计算机2203</v>
          </cell>
          <cell r="D54">
            <v>2</v>
          </cell>
          <cell r="E54" t="str">
            <v>汇编语言程序设计,面向对象程序设计</v>
          </cell>
          <cell r="F54" t="str">
            <v>特别困难</v>
          </cell>
        </row>
        <row r="55">
          <cell r="A55">
            <v>22404200119</v>
          </cell>
          <cell r="B55" t="str">
            <v>罗泳岚</v>
          </cell>
          <cell r="C55" t="str">
            <v>计算机2201</v>
          </cell>
          <cell r="D55">
            <v>0</v>
          </cell>
          <cell r="E55" t="str">
            <v>无</v>
          </cell>
          <cell r="F55" t="str">
            <v>一般困难</v>
          </cell>
        </row>
        <row r="56">
          <cell r="A56">
            <v>22404200523</v>
          </cell>
          <cell r="B56" t="str">
            <v>沈宇杰</v>
          </cell>
          <cell r="C56" t="str">
            <v>计算机2201</v>
          </cell>
          <cell r="D56">
            <v>1</v>
          </cell>
          <cell r="E56" t="str">
            <v>计算机操作系统</v>
          </cell>
          <cell r="F56" t="str">
            <v>无</v>
          </cell>
        </row>
        <row r="57">
          <cell r="A57">
            <v>22404200529</v>
          </cell>
          <cell r="B57" t="str">
            <v>席玉朋</v>
          </cell>
          <cell r="C57" t="str">
            <v>计算机2203</v>
          </cell>
          <cell r="D57">
            <v>4</v>
          </cell>
          <cell r="E57" t="str">
            <v>汇编语言程序设计,算法设计与分析,软件工程,面向对象程序设计</v>
          </cell>
          <cell r="F57" t="str">
            <v>无</v>
          </cell>
        </row>
        <row r="58">
          <cell r="A58">
            <v>22404200635</v>
          </cell>
          <cell r="B58" t="str">
            <v>张柯</v>
          </cell>
          <cell r="C58" t="str">
            <v>计算机2203</v>
          </cell>
          <cell r="D58">
            <v>0</v>
          </cell>
          <cell r="E58" t="str">
            <v>无</v>
          </cell>
          <cell r="F58" t="str">
            <v>无</v>
          </cell>
        </row>
        <row r="59">
          <cell r="A59">
            <v>22404200637</v>
          </cell>
          <cell r="B59" t="str">
            <v>钟佳志</v>
          </cell>
          <cell r="C59" t="str">
            <v>计算机2201</v>
          </cell>
          <cell r="D59">
            <v>1</v>
          </cell>
          <cell r="E59" t="str">
            <v>程序设计语言（C语言）</v>
          </cell>
          <cell r="F59" t="str">
            <v>无</v>
          </cell>
        </row>
        <row r="60">
          <cell r="A60">
            <v>22404200714</v>
          </cell>
          <cell r="B60" t="str">
            <v>李泽</v>
          </cell>
          <cell r="C60" t="str">
            <v>计算机2202</v>
          </cell>
          <cell r="D60">
            <v>0</v>
          </cell>
          <cell r="E60" t="str">
            <v>无</v>
          </cell>
          <cell r="F60" t="str">
            <v>特别困难</v>
          </cell>
        </row>
        <row r="61">
          <cell r="A61">
            <v>22405700441</v>
          </cell>
          <cell r="B61" t="str">
            <v>周蜜</v>
          </cell>
          <cell r="C61" t="str">
            <v>计算机2202</v>
          </cell>
          <cell r="D61">
            <v>1</v>
          </cell>
          <cell r="E61" t="str">
            <v>算法设计与分析</v>
          </cell>
          <cell r="F61" t="str">
            <v>无</v>
          </cell>
        </row>
        <row r="62">
          <cell r="A62">
            <v>22405700811</v>
          </cell>
          <cell r="B62" t="str">
            <v>贺钰番</v>
          </cell>
          <cell r="C62" t="str">
            <v>计算机2202</v>
          </cell>
          <cell r="D62">
            <v>0</v>
          </cell>
          <cell r="E62" t="str">
            <v>无</v>
          </cell>
          <cell r="F62" t="str">
            <v>无</v>
          </cell>
        </row>
        <row r="63">
          <cell r="A63">
            <v>22408000303</v>
          </cell>
          <cell r="B63" t="str">
            <v>陈敏华</v>
          </cell>
          <cell r="C63" t="str">
            <v>计算机2201</v>
          </cell>
          <cell r="D63">
            <v>0</v>
          </cell>
          <cell r="E63" t="str">
            <v>无</v>
          </cell>
          <cell r="F63" t="str">
            <v>困难</v>
          </cell>
        </row>
        <row r="64">
          <cell r="A64">
            <v>22408000310</v>
          </cell>
          <cell r="B64" t="str">
            <v>何向阳</v>
          </cell>
          <cell r="C64" t="str">
            <v>计算机2201</v>
          </cell>
          <cell r="D64">
            <v>0</v>
          </cell>
          <cell r="E64" t="str">
            <v>无</v>
          </cell>
          <cell r="F64" t="str">
            <v>无</v>
          </cell>
        </row>
        <row r="65">
          <cell r="A65">
            <v>22408000311</v>
          </cell>
          <cell r="B65" t="str">
            <v>何亚东</v>
          </cell>
          <cell r="C65" t="str">
            <v>计算机2201</v>
          </cell>
          <cell r="D65">
            <v>0</v>
          </cell>
          <cell r="E65" t="str">
            <v>无</v>
          </cell>
          <cell r="F65" t="str">
            <v>无</v>
          </cell>
        </row>
        <row r="66">
          <cell r="A66">
            <v>22408000318</v>
          </cell>
          <cell r="B66" t="str">
            <v>林辉城</v>
          </cell>
          <cell r="C66" t="str">
            <v>计算机2201</v>
          </cell>
          <cell r="D66">
            <v>0</v>
          </cell>
          <cell r="E66" t="str">
            <v>无</v>
          </cell>
          <cell r="F66" t="str">
            <v>无</v>
          </cell>
        </row>
        <row r="67">
          <cell r="A67">
            <v>22408000319</v>
          </cell>
          <cell r="B67" t="str">
            <v>林思</v>
          </cell>
          <cell r="C67" t="str">
            <v>计算机2201</v>
          </cell>
          <cell r="D67">
            <v>1</v>
          </cell>
          <cell r="E67" t="str">
            <v>软件工程</v>
          </cell>
          <cell r="F67" t="str">
            <v>无</v>
          </cell>
        </row>
        <row r="68">
          <cell r="A68">
            <v>22408000322</v>
          </cell>
          <cell r="B68" t="str">
            <v>刘亦菲</v>
          </cell>
          <cell r="C68" t="str">
            <v>计算机2201</v>
          </cell>
          <cell r="D68">
            <v>0</v>
          </cell>
          <cell r="E68" t="str">
            <v>无</v>
          </cell>
          <cell r="F68" t="str">
            <v>一般困难</v>
          </cell>
        </row>
        <row r="69">
          <cell r="A69">
            <v>22408000326</v>
          </cell>
          <cell r="B69" t="str">
            <v>屈正伟</v>
          </cell>
          <cell r="C69" t="str">
            <v>计算机2201</v>
          </cell>
          <cell r="D69">
            <v>0</v>
          </cell>
          <cell r="E69" t="str">
            <v>无</v>
          </cell>
          <cell r="F69" t="str">
            <v>无</v>
          </cell>
        </row>
        <row r="70">
          <cell r="A70">
            <v>22408000329</v>
          </cell>
          <cell r="B70" t="str">
            <v>孙喆琛</v>
          </cell>
          <cell r="C70" t="str">
            <v>计算机2201</v>
          </cell>
          <cell r="D70">
            <v>0</v>
          </cell>
          <cell r="E70" t="str">
            <v>无</v>
          </cell>
          <cell r="F70" t="str">
            <v>无</v>
          </cell>
        </row>
        <row r="71">
          <cell r="A71">
            <v>22408000340</v>
          </cell>
          <cell r="B71" t="str">
            <v>张仲麟</v>
          </cell>
          <cell r="C71" t="str">
            <v>计算机2201</v>
          </cell>
          <cell r="D71">
            <v>0</v>
          </cell>
          <cell r="E71" t="str">
            <v>无</v>
          </cell>
          <cell r="F71" t="str">
            <v>无</v>
          </cell>
        </row>
        <row r="72">
          <cell r="A72">
            <v>22408000341</v>
          </cell>
          <cell r="B72" t="str">
            <v>周晶玲</v>
          </cell>
          <cell r="C72" t="str">
            <v>计算机2201</v>
          </cell>
          <cell r="D72">
            <v>0</v>
          </cell>
          <cell r="E72" t="str">
            <v>无</v>
          </cell>
          <cell r="F72" t="str">
            <v>困难</v>
          </cell>
        </row>
        <row r="73">
          <cell r="A73">
            <v>22408000343</v>
          </cell>
          <cell r="B73" t="str">
            <v>邹攀</v>
          </cell>
          <cell r="C73" t="str">
            <v>计算机2201</v>
          </cell>
          <cell r="D73">
            <v>0</v>
          </cell>
          <cell r="E73" t="str">
            <v>无</v>
          </cell>
          <cell r="F73" t="str">
            <v>无</v>
          </cell>
        </row>
        <row r="74">
          <cell r="A74">
            <v>22408000416</v>
          </cell>
          <cell r="B74" t="str">
            <v>李德军</v>
          </cell>
          <cell r="C74" t="str">
            <v>计算机2201</v>
          </cell>
          <cell r="D74">
            <v>0</v>
          </cell>
          <cell r="E74" t="str">
            <v>无</v>
          </cell>
          <cell r="F74" t="str">
            <v>无</v>
          </cell>
        </row>
        <row r="75">
          <cell r="A75">
            <v>22408000429</v>
          </cell>
          <cell r="B75" t="str">
            <v>万颖新</v>
          </cell>
          <cell r="C75" t="str">
            <v>计算机2201</v>
          </cell>
          <cell r="D75">
            <v>2</v>
          </cell>
          <cell r="E75" t="str">
            <v>JAVA程序设计,软件工程</v>
          </cell>
          <cell r="F75" t="str">
            <v>特别困难</v>
          </cell>
        </row>
        <row r="76">
          <cell r="A76">
            <v>22408000431</v>
          </cell>
          <cell r="B76" t="str">
            <v>吴雨欢</v>
          </cell>
          <cell r="C76" t="str">
            <v>计算机2201</v>
          </cell>
          <cell r="D76">
            <v>0</v>
          </cell>
          <cell r="E76" t="str">
            <v>无</v>
          </cell>
          <cell r="F76" t="str">
            <v>特别困难</v>
          </cell>
        </row>
        <row r="77">
          <cell r="A77">
            <v>22408000433</v>
          </cell>
          <cell r="B77" t="str">
            <v>徐萌昊</v>
          </cell>
          <cell r="C77" t="str">
            <v>计算机2201</v>
          </cell>
          <cell r="D77">
            <v>0</v>
          </cell>
          <cell r="E77" t="str">
            <v>无</v>
          </cell>
          <cell r="F77" t="str">
            <v>无</v>
          </cell>
        </row>
        <row r="78">
          <cell r="A78">
            <v>22408000438</v>
          </cell>
          <cell r="B78" t="str">
            <v>赵观奥</v>
          </cell>
          <cell r="C78" t="str">
            <v>计算机2201</v>
          </cell>
          <cell r="D78">
            <v>0</v>
          </cell>
          <cell r="E78" t="str">
            <v>无</v>
          </cell>
          <cell r="F78" t="str">
            <v>无</v>
          </cell>
        </row>
        <row r="79">
          <cell r="A79">
            <v>22408000503</v>
          </cell>
          <cell r="B79" t="str">
            <v>陈振</v>
          </cell>
          <cell r="C79" t="str">
            <v>计算机2201</v>
          </cell>
          <cell r="D79">
            <v>4</v>
          </cell>
          <cell r="E79" t="str">
            <v>数据库原理,汇编语言程序设计,计算机组成原理,面向对象程序设计</v>
          </cell>
          <cell r="F79" t="str">
            <v>无</v>
          </cell>
        </row>
        <row r="80">
          <cell r="A80">
            <v>22408000513</v>
          </cell>
          <cell r="B80" t="str">
            <v>蒋俊豪</v>
          </cell>
          <cell r="C80" t="str">
            <v>计算机2201</v>
          </cell>
          <cell r="D80">
            <v>0</v>
          </cell>
          <cell r="E80" t="str">
            <v>无</v>
          </cell>
          <cell r="F80" t="str">
            <v>无</v>
          </cell>
        </row>
        <row r="81">
          <cell r="A81">
            <v>22408000517</v>
          </cell>
          <cell r="B81" t="str">
            <v>凌成果</v>
          </cell>
          <cell r="C81" t="str">
            <v>计算机2201</v>
          </cell>
          <cell r="D81">
            <v>0</v>
          </cell>
          <cell r="E81" t="str">
            <v>无</v>
          </cell>
          <cell r="F81" t="str">
            <v>无</v>
          </cell>
        </row>
        <row r="82">
          <cell r="A82">
            <v>22408000519</v>
          </cell>
          <cell r="B82" t="str">
            <v>刘宥均</v>
          </cell>
          <cell r="C82" t="str">
            <v>计算机2201</v>
          </cell>
          <cell r="D82">
            <v>0</v>
          </cell>
          <cell r="E82" t="str">
            <v>无</v>
          </cell>
          <cell r="F82" t="str">
            <v>无</v>
          </cell>
        </row>
        <row r="83">
          <cell r="A83">
            <v>22408000526</v>
          </cell>
          <cell r="B83" t="str">
            <v>谭小斌</v>
          </cell>
          <cell r="C83" t="str">
            <v>计算机2201</v>
          </cell>
          <cell r="D83">
            <v>0</v>
          </cell>
          <cell r="E83" t="str">
            <v>无</v>
          </cell>
          <cell r="F83" t="str">
            <v>无</v>
          </cell>
        </row>
        <row r="84">
          <cell r="A84">
            <v>22408000528</v>
          </cell>
          <cell r="B84" t="str">
            <v>田梅楠</v>
          </cell>
          <cell r="C84" t="str">
            <v>计算机2201</v>
          </cell>
          <cell r="D84">
            <v>0</v>
          </cell>
          <cell r="E84" t="str">
            <v>无</v>
          </cell>
          <cell r="F84" t="str">
            <v>无</v>
          </cell>
        </row>
        <row r="85">
          <cell r="A85">
            <v>22408000529</v>
          </cell>
          <cell r="B85" t="str">
            <v>王驰宇</v>
          </cell>
          <cell r="C85" t="str">
            <v>计算机2201</v>
          </cell>
          <cell r="D85">
            <v>0</v>
          </cell>
          <cell r="E85" t="str">
            <v>无</v>
          </cell>
          <cell r="F85" t="str">
            <v>无</v>
          </cell>
        </row>
        <row r="86">
          <cell r="A86">
            <v>22408000535</v>
          </cell>
          <cell r="B86" t="str">
            <v>谢丽娟</v>
          </cell>
          <cell r="C86" t="str">
            <v>计算机2201</v>
          </cell>
          <cell r="D86">
            <v>0</v>
          </cell>
          <cell r="E86" t="str">
            <v>无</v>
          </cell>
          <cell r="F86" t="str">
            <v>一般困难</v>
          </cell>
        </row>
        <row r="87">
          <cell r="A87">
            <v>22408000536</v>
          </cell>
          <cell r="B87" t="str">
            <v>徐乐</v>
          </cell>
          <cell r="C87" t="str">
            <v>计算机2201</v>
          </cell>
          <cell r="D87">
            <v>0</v>
          </cell>
          <cell r="E87" t="str">
            <v>无</v>
          </cell>
          <cell r="F87" t="str">
            <v>无</v>
          </cell>
        </row>
        <row r="88">
          <cell r="A88">
            <v>22408000540</v>
          </cell>
          <cell r="B88" t="str">
            <v>张钰琪</v>
          </cell>
          <cell r="C88" t="str">
            <v>计算机2201</v>
          </cell>
          <cell r="D88">
            <v>0</v>
          </cell>
          <cell r="E88" t="str">
            <v>无</v>
          </cell>
          <cell r="F88" t="str">
            <v>无</v>
          </cell>
        </row>
        <row r="89">
          <cell r="A89">
            <v>22408000607</v>
          </cell>
          <cell r="B89" t="str">
            <v>方登科</v>
          </cell>
          <cell r="C89" t="str">
            <v>计算机2202</v>
          </cell>
          <cell r="D89">
            <v>0</v>
          </cell>
          <cell r="E89" t="str">
            <v>无</v>
          </cell>
          <cell r="F89" t="str">
            <v>无</v>
          </cell>
        </row>
        <row r="90">
          <cell r="A90">
            <v>22408000617</v>
          </cell>
          <cell r="B90" t="str">
            <v>李子扬</v>
          </cell>
          <cell r="C90" t="str">
            <v>计算机2202</v>
          </cell>
          <cell r="D90">
            <v>0</v>
          </cell>
          <cell r="E90" t="str">
            <v>无</v>
          </cell>
          <cell r="F90" t="str">
            <v>无</v>
          </cell>
        </row>
        <row r="91">
          <cell r="A91">
            <v>22408000618</v>
          </cell>
          <cell r="B91" t="str">
            <v>刘高远</v>
          </cell>
          <cell r="C91" t="str">
            <v>计算机2202</v>
          </cell>
          <cell r="D91">
            <v>0</v>
          </cell>
          <cell r="E91" t="str">
            <v>无</v>
          </cell>
          <cell r="F91" t="str">
            <v>无</v>
          </cell>
        </row>
        <row r="92">
          <cell r="A92">
            <v>22408000620</v>
          </cell>
          <cell r="B92" t="str">
            <v>刘宇</v>
          </cell>
          <cell r="C92" t="str">
            <v>计算机2202</v>
          </cell>
          <cell r="D92">
            <v>0</v>
          </cell>
          <cell r="E92" t="str">
            <v>无</v>
          </cell>
          <cell r="F92" t="str">
            <v>一般困难</v>
          </cell>
        </row>
        <row r="93">
          <cell r="A93">
            <v>22408000624</v>
          </cell>
          <cell r="B93" t="str">
            <v>欧阳旭</v>
          </cell>
          <cell r="C93" t="str">
            <v>计算机2202</v>
          </cell>
          <cell r="D93">
            <v>0</v>
          </cell>
          <cell r="E93" t="str">
            <v>无</v>
          </cell>
          <cell r="F93" t="str">
            <v>无</v>
          </cell>
        </row>
        <row r="94">
          <cell r="A94">
            <v>22408000625</v>
          </cell>
          <cell r="B94" t="str">
            <v>沈云</v>
          </cell>
          <cell r="C94" t="str">
            <v>计算机2202</v>
          </cell>
          <cell r="D94">
            <v>3</v>
          </cell>
          <cell r="E94" t="str">
            <v>JAVA程序设计,Python程序设计,软件工程</v>
          </cell>
          <cell r="F94" t="str">
            <v>无</v>
          </cell>
        </row>
        <row r="95">
          <cell r="A95">
            <v>22408000636</v>
          </cell>
          <cell r="B95" t="str">
            <v>许宗畅</v>
          </cell>
          <cell r="C95" t="str">
            <v>计算机2202</v>
          </cell>
          <cell r="D95">
            <v>0</v>
          </cell>
          <cell r="E95" t="str">
            <v>无</v>
          </cell>
          <cell r="F95" t="str">
            <v>无</v>
          </cell>
        </row>
        <row r="96">
          <cell r="A96">
            <v>22408000638</v>
          </cell>
          <cell r="B96" t="str">
            <v>张仕轲</v>
          </cell>
          <cell r="C96" t="str">
            <v>计算机2202</v>
          </cell>
          <cell r="D96">
            <v>0</v>
          </cell>
          <cell r="E96" t="str">
            <v>无</v>
          </cell>
          <cell r="F96" t="str">
            <v>无</v>
          </cell>
        </row>
        <row r="97">
          <cell r="A97">
            <v>22408000640</v>
          </cell>
          <cell r="B97" t="str">
            <v>赵梓翔</v>
          </cell>
          <cell r="C97" t="str">
            <v>计算机2202</v>
          </cell>
          <cell r="D97">
            <v>0</v>
          </cell>
          <cell r="E97" t="str">
            <v>无</v>
          </cell>
          <cell r="F97" t="str">
            <v>无</v>
          </cell>
        </row>
        <row r="98">
          <cell r="A98">
            <v>22408000642</v>
          </cell>
          <cell r="B98" t="str">
            <v>周宇</v>
          </cell>
          <cell r="C98" t="str">
            <v>计算机2202</v>
          </cell>
          <cell r="D98">
            <v>0</v>
          </cell>
          <cell r="E98" t="str">
            <v>无</v>
          </cell>
          <cell r="F98" t="str">
            <v>无</v>
          </cell>
        </row>
        <row r="99">
          <cell r="A99">
            <v>22408000701</v>
          </cell>
          <cell r="B99" t="str">
            <v>曾义</v>
          </cell>
          <cell r="C99" t="str">
            <v>计算机2202</v>
          </cell>
          <cell r="D99">
            <v>2</v>
          </cell>
          <cell r="E99" t="str">
            <v>JAVA程序设计,汇编语言程序设计</v>
          </cell>
          <cell r="F99" t="str">
            <v>无</v>
          </cell>
        </row>
        <row r="100">
          <cell r="A100">
            <v>22408000702</v>
          </cell>
          <cell r="B100" t="str">
            <v>陈文杰</v>
          </cell>
          <cell r="C100" t="str">
            <v>计算机2202</v>
          </cell>
          <cell r="D100">
            <v>1</v>
          </cell>
          <cell r="E100" t="str">
            <v>面向对象程序设计</v>
          </cell>
          <cell r="F100" t="str">
            <v>无</v>
          </cell>
        </row>
        <row r="101">
          <cell r="A101">
            <v>22408000707</v>
          </cell>
          <cell r="B101" t="str">
            <v>何俊宏</v>
          </cell>
          <cell r="C101" t="str">
            <v>计算机2202</v>
          </cell>
          <cell r="D101">
            <v>0</v>
          </cell>
          <cell r="E101" t="str">
            <v>无</v>
          </cell>
          <cell r="F101" t="str">
            <v>无</v>
          </cell>
        </row>
        <row r="102">
          <cell r="A102">
            <v>22408000714</v>
          </cell>
          <cell r="B102" t="str">
            <v>康佳霓</v>
          </cell>
          <cell r="C102" t="str">
            <v>计算机2202</v>
          </cell>
          <cell r="D102">
            <v>0</v>
          </cell>
          <cell r="E102" t="str">
            <v>无</v>
          </cell>
          <cell r="F102" t="str">
            <v>无</v>
          </cell>
        </row>
        <row r="103">
          <cell r="A103">
            <v>22408000716</v>
          </cell>
          <cell r="B103" t="str">
            <v>李梓璇</v>
          </cell>
          <cell r="C103" t="str">
            <v>计算机2202</v>
          </cell>
          <cell r="D103">
            <v>0</v>
          </cell>
          <cell r="E103" t="str">
            <v>无</v>
          </cell>
          <cell r="F103" t="str">
            <v>一般困难</v>
          </cell>
        </row>
        <row r="104">
          <cell r="A104">
            <v>22408000719</v>
          </cell>
          <cell r="B104" t="str">
            <v>刘纪宏</v>
          </cell>
          <cell r="C104" t="str">
            <v>计算机2202</v>
          </cell>
          <cell r="D104">
            <v>0</v>
          </cell>
          <cell r="E104" t="str">
            <v>无</v>
          </cell>
          <cell r="F104" t="str">
            <v>无</v>
          </cell>
        </row>
        <row r="105">
          <cell r="A105">
            <v>22408000725</v>
          </cell>
          <cell r="B105" t="str">
            <v>罗鹏程</v>
          </cell>
          <cell r="C105" t="str">
            <v>计算机2202</v>
          </cell>
          <cell r="D105">
            <v>0</v>
          </cell>
          <cell r="E105" t="str">
            <v>无</v>
          </cell>
          <cell r="F105" t="str">
            <v>无</v>
          </cell>
        </row>
        <row r="106">
          <cell r="A106">
            <v>22408000727</v>
          </cell>
          <cell r="B106" t="str">
            <v>马玉凤</v>
          </cell>
          <cell r="C106" t="str">
            <v>计算机2202</v>
          </cell>
          <cell r="D106">
            <v>0</v>
          </cell>
          <cell r="E106" t="str">
            <v>无</v>
          </cell>
          <cell r="F106" t="str">
            <v>一般困难</v>
          </cell>
        </row>
        <row r="107">
          <cell r="A107">
            <v>22408000730</v>
          </cell>
          <cell r="B107" t="str">
            <v>彭晨曦</v>
          </cell>
          <cell r="C107" t="str">
            <v>计算机2202</v>
          </cell>
          <cell r="D107">
            <v>0</v>
          </cell>
          <cell r="E107" t="str">
            <v>无</v>
          </cell>
          <cell r="F107" t="str">
            <v>无</v>
          </cell>
        </row>
        <row r="108">
          <cell r="A108">
            <v>22408000735</v>
          </cell>
          <cell r="B108" t="str">
            <v>肖昌</v>
          </cell>
          <cell r="C108" t="str">
            <v>计算机2202</v>
          </cell>
          <cell r="D108">
            <v>0</v>
          </cell>
          <cell r="E108" t="str">
            <v>无</v>
          </cell>
          <cell r="F108" t="str">
            <v>无</v>
          </cell>
        </row>
        <row r="109">
          <cell r="A109">
            <v>22408000738</v>
          </cell>
          <cell r="B109" t="str">
            <v>杨静雯</v>
          </cell>
          <cell r="C109" t="str">
            <v>计算机2202</v>
          </cell>
          <cell r="D109">
            <v>0</v>
          </cell>
          <cell r="E109" t="str">
            <v>无</v>
          </cell>
          <cell r="F109" t="str">
            <v>无</v>
          </cell>
        </row>
        <row r="110">
          <cell r="A110">
            <v>22408000739</v>
          </cell>
          <cell r="B110" t="str">
            <v>张意</v>
          </cell>
          <cell r="C110" t="str">
            <v>计算机2202</v>
          </cell>
          <cell r="D110">
            <v>0</v>
          </cell>
          <cell r="E110" t="str">
            <v>无</v>
          </cell>
          <cell r="F110" t="str">
            <v>无</v>
          </cell>
        </row>
        <row r="111">
          <cell r="A111">
            <v>22408000742</v>
          </cell>
          <cell r="B111" t="str">
            <v>周远哲</v>
          </cell>
          <cell r="C111" t="str">
            <v>计算机2202</v>
          </cell>
          <cell r="D111">
            <v>0</v>
          </cell>
          <cell r="E111" t="str">
            <v>无</v>
          </cell>
          <cell r="F111" t="str">
            <v>无</v>
          </cell>
        </row>
        <row r="112">
          <cell r="A112">
            <v>22408000806</v>
          </cell>
          <cell r="B112" t="str">
            <v>邓湘阳</v>
          </cell>
          <cell r="C112" t="str">
            <v>计算机2202</v>
          </cell>
          <cell r="D112">
            <v>2</v>
          </cell>
          <cell r="E112" t="str">
            <v>汇编语言程序设计,面向对象程序设计</v>
          </cell>
          <cell r="F112" t="str">
            <v>无</v>
          </cell>
        </row>
        <row r="113">
          <cell r="A113">
            <v>22408000809</v>
          </cell>
          <cell r="B113" t="str">
            <v>韩轲</v>
          </cell>
          <cell r="C113" t="str">
            <v>计算机2202</v>
          </cell>
          <cell r="D113">
            <v>0</v>
          </cell>
          <cell r="E113" t="str">
            <v>无</v>
          </cell>
          <cell r="F113" t="str">
            <v>无</v>
          </cell>
        </row>
        <row r="114">
          <cell r="A114">
            <v>22408000810</v>
          </cell>
          <cell r="B114" t="str">
            <v>何顺祥</v>
          </cell>
          <cell r="C114" t="str">
            <v>计算机2202</v>
          </cell>
          <cell r="D114">
            <v>0</v>
          </cell>
          <cell r="E114" t="str">
            <v>无</v>
          </cell>
          <cell r="F114" t="str">
            <v>无</v>
          </cell>
        </row>
        <row r="115">
          <cell r="A115">
            <v>22408000815</v>
          </cell>
          <cell r="B115" t="str">
            <v>李柏</v>
          </cell>
          <cell r="C115" t="str">
            <v>计算机2202</v>
          </cell>
          <cell r="D115">
            <v>0</v>
          </cell>
          <cell r="E115" t="str">
            <v>无</v>
          </cell>
          <cell r="F115" t="str">
            <v>无</v>
          </cell>
        </row>
        <row r="116">
          <cell r="A116">
            <v>22408000816</v>
          </cell>
          <cell r="B116" t="str">
            <v>李文涛</v>
          </cell>
          <cell r="C116" t="str">
            <v>计算机2202</v>
          </cell>
          <cell r="D116">
            <v>0</v>
          </cell>
          <cell r="E116" t="str">
            <v>无</v>
          </cell>
          <cell r="F116" t="str">
            <v>无</v>
          </cell>
        </row>
        <row r="117">
          <cell r="A117">
            <v>22408000819</v>
          </cell>
          <cell r="B117" t="str">
            <v>刘孟</v>
          </cell>
          <cell r="C117" t="str">
            <v>计算机2202</v>
          </cell>
          <cell r="D117">
            <v>1</v>
          </cell>
          <cell r="E117" t="str">
            <v>软件工程</v>
          </cell>
          <cell r="F117" t="str">
            <v>无</v>
          </cell>
        </row>
        <row r="118">
          <cell r="A118">
            <v>22408000822</v>
          </cell>
          <cell r="B118" t="str">
            <v>刘祖池</v>
          </cell>
          <cell r="C118" t="str">
            <v>计算机2202</v>
          </cell>
          <cell r="D118">
            <v>0</v>
          </cell>
          <cell r="E118" t="str">
            <v>无</v>
          </cell>
          <cell r="F118" t="str">
            <v>无</v>
          </cell>
        </row>
        <row r="119">
          <cell r="A119">
            <v>22408000825</v>
          </cell>
          <cell r="B119" t="str">
            <v>彭佳怡</v>
          </cell>
          <cell r="C119" t="str">
            <v>计算机2202</v>
          </cell>
          <cell r="D119">
            <v>0</v>
          </cell>
          <cell r="E119" t="str">
            <v>无</v>
          </cell>
          <cell r="F119" t="str">
            <v>无</v>
          </cell>
        </row>
        <row r="120">
          <cell r="A120">
            <v>22408000826</v>
          </cell>
          <cell r="B120" t="str">
            <v>彭家敏</v>
          </cell>
          <cell r="C120" t="str">
            <v>计算机2202</v>
          </cell>
          <cell r="D120">
            <v>0</v>
          </cell>
          <cell r="E120" t="str">
            <v>无</v>
          </cell>
          <cell r="F120" t="str">
            <v>无</v>
          </cell>
        </row>
        <row r="121">
          <cell r="A121">
            <v>22408000827</v>
          </cell>
          <cell r="B121" t="str">
            <v>彭忠申</v>
          </cell>
          <cell r="C121" t="str">
            <v>计算机2202</v>
          </cell>
          <cell r="D121">
            <v>0</v>
          </cell>
          <cell r="E121" t="str">
            <v>无</v>
          </cell>
          <cell r="F121" t="str">
            <v>特别困难</v>
          </cell>
        </row>
        <row r="122">
          <cell r="A122">
            <v>22408000834</v>
          </cell>
          <cell r="B122" t="str">
            <v>王啸业</v>
          </cell>
          <cell r="C122" t="str">
            <v>计算机2202</v>
          </cell>
          <cell r="D122">
            <v>0</v>
          </cell>
          <cell r="E122" t="str">
            <v>无</v>
          </cell>
          <cell r="F122" t="str">
            <v>特别困难</v>
          </cell>
        </row>
        <row r="123">
          <cell r="A123">
            <v>22408000836</v>
          </cell>
          <cell r="B123" t="str">
            <v>肖海珠</v>
          </cell>
          <cell r="C123" t="str">
            <v>计算机2202</v>
          </cell>
          <cell r="D123">
            <v>0</v>
          </cell>
          <cell r="E123" t="str">
            <v>无</v>
          </cell>
          <cell r="F123" t="str">
            <v>无</v>
          </cell>
        </row>
        <row r="124">
          <cell r="A124">
            <v>22408000837</v>
          </cell>
          <cell r="B124" t="str">
            <v>杨锦垣</v>
          </cell>
          <cell r="C124" t="str">
            <v>计算机2202</v>
          </cell>
          <cell r="D124">
            <v>0</v>
          </cell>
          <cell r="E124" t="str">
            <v>无</v>
          </cell>
          <cell r="F124" t="str">
            <v>无</v>
          </cell>
        </row>
        <row r="125">
          <cell r="A125">
            <v>22408000838</v>
          </cell>
          <cell r="B125" t="str">
            <v>余采蓉</v>
          </cell>
          <cell r="C125" t="str">
            <v>计算机2202</v>
          </cell>
          <cell r="D125">
            <v>0</v>
          </cell>
          <cell r="E125" t="str">
            <v>无</v>
          </cell>
          <cell r="F125" t="str">
            <v>无</v>
          </cell>
        </row>
        <row r="126">
          <cell r="A126">
            <v>22408000840</v>
          </cell>
          <cell r="B126" t="str">
            <v>赵璞</v>
          </cell>
          <cell r="C126" t="str">
            <v>计算机2202</v>
          </cell>
          <cell r="D126">
            <v>6</v>
          </cell>
          <cell r="E126" t="str">
            <v>JAVA程序设计,汇编语言程序设计,算法设计与分析,计算机组成原理,面向对象程序设计,面向过程程序设计(C语言)</v>
          </cell>
          <cell r="F126" t="str">
            <v>无</v>
          </cell>
        </row>
        <row r="127">
          <cell r="A127">
            <v>22408000906</v>
          </cell>
          <cell r="B127" t="str">
            <v>傅嘉豪</v>
          </cell>
          <cell r="C127" t="str">
            <v>计算机2201</v>
          </cell>
          <cell r="D127">
            <v>0</v>
          </cell>
          <cell r="E127" t="str">
            <v>无</v>
          </cell>
          <cell r="F127" t="str">
            <v>无</v>
          </cell>
        </row>
        <row r="128">
          <cell r="A128">
            <v>22408000909</v>
          </cell>
          <cell r="B128" t="str">
            <v>胡天伊</v>
          </cell>
          <cell r="C128" t="str">
            <v>计算机2201</v>
          </cell>
          <cell r="D128">
            <v>0</v>
          </cell>
          <cell r="E128" t="str">
            <v>无</v>
          </cell>
          <cell r="F128" t="str">
            <v>无</v>
          </cell>
        </row>
        <row r="129">
          <cell r="A129">
            <v>22408000911</v>
          </cell>
          <cell r="B129" t="str">
            <v>黄佳音</v>
          </cell>
          <cell r="C129" t="str">
            <v>计算机2201</v>
          </cell>
          <cell r="D129">
            <v>0</v>
          </cell>
          <cell r="E129" t="str">
            <v>无</v>
          </cell>
          <cell r="F129" t="str">
            <v>特别困难</v>
          </cell>
        </row>
        <row r="130">
          <cell r="A130">
            <v>22408000913</v>
          </cell>
          <cell r="B130" t="str">
            <v>匡增飞</v>
          </cell>
          <cell r="C130" t="str">
            <v>计算机2201</v>
          </cell>
          <cell r="D130">
            <v>0</v>
          </cell>
          <cell r="E130" t="str">
            <v>无</v>
          </cell>
          <cell r="F130" t="str">
            <v>一般困难</v>
          </cell>
        </row>
        <row r="131">
          <cell r="A131">
            <v>22408000927</v>
          </cell>
          <cell r="B131" t="str">
            <v>田殿宇</v>
          </cell>
          <cell r="C131" t="str">
            <v>计算机2201</v>
          </cell>
          <cell r="D131">
            <v>0</v>
          </cell>
          <cell r="E131" t="str">
            <v>无</v>
          </cell>
          <cell r="F131" t="str">
            <v>无</v>
          </cell>
        </row>
        <row r="132">
          <cell r="A132">
            <v>22408000928</v>
          </cell>
          <cell r="B132" t="str">
            <v>王世祺</v>
          </cell>
          <cell r="C132" t="str">
            <v>计算机2201</v>
          </cell>
          <cell r="D132">
            <v>0</v>
          </cell>
          <cell r="E132" t="str">
            <v>无</v>
          </cell>
          <cell r="F132" t="str">
            <v>无</v>
          </cell>
        </row>
        <row r="133">
          <cell r="A133">
            <v>22408000930</v>
          </cell>
          <cell r="B133" t="str">
            <v>温俊豪</v>
          </cell>
          <cell r="C133" t="str">
            <v>计算机2201</v>
          </cell>
          <cell r="D133">
            <v>0</v>
          </cell>
          <cell r="E133" t="str">
            <v>无</v>
          </cell>
          <cell r="F133" t="str">
            <v>无</v>
          </cell>
        </row>
        <row r="134">
          <cell r="A134">
            <v>22408000933</v>
          </cell>
          <cell r="B134" t="str">
            <v>杨梦娆</v>
          </cell>
          <cell r="C134" t="str">
            <v>计算机2201</v>
          </cell>
          <cell r="D134">
            <v>3</v>
          </cell>
          <cell r="E134" t="str">
            <v>Java web程序设计,计算机操作系统,软件工程</v>
          </cell>
          <cell r="F134" t="str">
            <v>特别困难</v>
          </cell>
        </row>
        <row r="135">
          <cell r="A135">
            <v>22408000934</v>
          </cell>
          <cell r="B135" t="str">
            <v>杨勇</v>
          </cell>
          <cell r="C135" t="str">
            <v>计算机2201</v>
          </cell>
          <cell r="D135">
            <v>2</v>
          </cell>
          <cell r="E135" t="str">
            <v>软件工程,面向对象程序设计</v>
          </cell>
          <cell r="F135" t="str">
            <v>无</v>
          </cell>
        </row>
        <row r="136">
          <cell r="A136">
            <v>22418200322</v>
          </cell>
          <cell r="B136" t="str">
            <v>王耀鹏</v>
          </cell>
          <cell r="C136" t="str">
            <v>计算机2202</v>
          </cell>
          <cell r="D136">
            <v>3</v>
          </cell>
          <cell r="E136" t="str">
            <v>汇编语言程序设计,软件工程,面向对象程序设计</v>
          </cell>
          <cell r="F136" t="str">
            <v>无</v>
          </cell>
        </row>
        <row r="137">
          <cell r="A137">
            <v>22418300226</v>
          </cell>
          <cell r="B137" t="str">
            <v>姚诗东</v>
          </cell>
          <cell r="C137" t="str">
            <v>计算机2201</v>
          </cell>
          <cell r="D137">
            <v>0</v>
          </cell>
          <cell r="E137" t="str">
            <v>无</v>
          </cell>
          <cell r="F137" t="str">
            <v>无</v>
          </cell>
        </row>
        <row r="138">
          <cell r="A138">
            <v>22418500130</v>
          </cell>
          <cell r="B138" t="str">
            <v>夏晓帆</v>
          </cell>
          <cell r="C138" t="str">
            <v>计算机2203</v>
          </cell>
          <cell r="D138">
            <v>5</v>
          </cell>
          <cell r="E138" t="str">
            <v>JAVA程序设计,汇编语言程序设计,算法设计与分析,软件工程,面向对象程序设计</v>
          </cell>
          <cell r="F138" t="str">
            <v>无</v>
          </cell>
        </row>
        <row r="139">
          <cell r="A139">
            <v>22418500209</v>
          </cell>
          <cell r="B139" t="str">
            <v>何健豪</v>
          </cell>
          <cell r="C139" t="str">
            <v>计算机2203</v>
          </cell>
          <cell r="D139">
            <v>0</v>
          </cell>
          <cell r="E139" t="str">
            <v>无</v>
          </cell>
          <cell r="F139" t="str">
            <v>无</v>
          </cell>
        </row>
        <row r="140">
          <cell r="A140">
            <v>22495000210</v>
          </cell>
          <cell r="B140" t="str">
            <v>胡弈宁</v>
          </cell>
          <cell r="C140" t="str">
            <v>计算机2201</v>
          </cell>
          <cell r="D140">
            <v>0</v>
          </cell>
          <cell r="E140" t="str">
            <v>无</v>
          </cell>
          <cell r="F140" t="str">
            <v>无</v>
          </cell>
        </row>
        <row r="141">
          <cell r="A141">
            <v>22495000539</v>
          </cell>
          <cell r="B141" t="str">
            <v>朱柏岩</v>
          </cell>
          <cell r="C141" t="str">
            <v>计算机2201</v>
          </cell>
          <cell r="D141">
            <v>0</v>
          </cell>
          <cell r="E141" t="str">
            <v>无</v>
          </cell>
          <cell r="F141" t="str">
            <v>无</v>
          </cell>
        </row>
        <row r="142">
          <cell r="A142">
            <v>22495001030</v>
          </cell>
          <cell r="B142" t="str">
            <v>王兴瑞</v>
          </cell>
          <cell r="C142" t="str">
            <v>计算机2201</v>
          </cell>
          <cell r="D142">
            <v>0</v>
          </cell>
          <cell r="E142" t="str">
            <v>无</v>
          </cell>
          <cell r="F142" t="str">
            <v>无</v>
          </cell>
        </row>
        <row r="143">
          <cell r="A143">
            <v>22496100215</v>
          </cell>
          <cell r="B143" t="str">
            <v>李政宏</v>
          </cell>
          <cell r="C143" t="str">
            <v>计算机2202</v>
          </cell>
          <cell r="D143">
            <v>1</v>
          </cell>
          <cell r="E143" t="str">
            <v>计算机基础A</v>
          </cell>
          <cell r="F143" t="str">
            <v>无</v>
          </cell>
        </row>
        <row r="144">
          <cell r="A144">
            <v>19450150266</v>
          </cell>
          <cell r="B144" t="str">
            <v>杨洋</v>
          </cell>
          <cell r="C144" t="str">
            <v>物联网2202</v>
          </cell>
          <cell r="D144">
            <v>10</v>
          </cell>
          <cell r="E144" t="str">
            <v>Java程序设计,信号与系统,信息技术导论,数据库原理,数据结构课程设计,移动应用开发,移动应用开发实训,程序设计综合实训,计算机组成原理,软件开发综合实训</v>
          </cell>
          <cell r="F144" t="str">
            <v>无</v>
          </cell>
        </row>
        <row r="145">
          <cell r="A145">
            <v>20408000112</v>
          </cell>
          <cell r="B145" t="str">
            <v>刘琰</v>
          </cell>
          <cell r="C145" t="str">
            <v>物联网2201</v>
          </cell>
          <cell r="D145">
            <v>8</v>
          </cell>
          <cell r="E145" t="str">
            <v>信号与系统,数据库原理,移动应用开发,移动应用开发实训,程序设计综合实训,计算机组成原理,认识实习,软件开发综合实训</v>
          </cell>
          <cell r="F145" t="str">
            <v>无</v>
          </cell>
        </row>
        <row r="146">
          <cell r="A146">
            <v>21408000209</v>
          </cell>
          <cell r="B146" t="str">
            <v>刘经天</v>
          </cell>
          <cell r="C146" t="str">
            <v>物联网2201</v>
          </cell>
          <cell r="D146">
            <v>2</v>
          </cell>
          <cell r="E146" t="str">
            <v>计算机组成原理,软件开发综合实训</v>
          </cell>
          <cell r="F146" t="str">
            <v>无</v>
          </cell>
        </row>
        <row r="147">
          <cell r="A147">
            <v>21408000221</v>
          </cell>
          <cell r="B147" t="str">
            <v>徐才政</v>
          </cell>
          <cell r="C147" t="str">
            <v>物联网2201</v>
          </cell>
          <cell r="D147">
            <v>0</v>
          </cell>
          <cell r="E147" t="str">
            <v>无</v>
          </cell>
          <cell r="F147" t="str">
            <v>无</v>
          </cell>
        </row>
        <row r="148">
          <cell r="A148">
            <v>21408000414</v>
          </cell>
          <cell r="B148" t="str">
            <v>罗廷鸿</v>
          </cell>
          <cell r="C148" t="str">
            <v>物联网2202</v>
          </cell>
          <cell r="D148">
            <v>3</v>
          </cell>
          <cell r="E148" t="str">
            <v>信息技术导论,数据库原理,计算机组成原理</v>
          </cell>
          <cell r="F148" t="str">
            <v>无</v>
          </cell>
        </row>
        <row r="149">
          <cell r="A149">
            <v>21408000803</v>
          </cell>
          <cell r="B149" t="str">
            <v>郭世辉</v>
          </cell>
          <cell r="C149" t="str">
            <v>物联网2102</v>
          </cell>
          <cell r="D149">
            <v>1</v>
          </cell>
          <cell r="E149" t="str">
            <v>单片机与接口技术</v>
          </cell>
          <cell r="F149" t="str">
            <v>无</v>
          </cell>
        </row>
        <row r="150">
          <cell r="A150">
            <v>21408000806</v>
          </cell>
          <cell r="B150" t="str">
            <v>康清晨</v>
          </cell>
          <cell r="C150" t="str">
            <v>物联网2202</v>
          </cell>
          <cell r="D150">
            <v>1</v>
          </cell>
          <cell r="E150" t="str">
            <v>单片机与接口技术</v>
          </cell>
          <cell r="F150" t="str">
            <v>无</v>
          </cell>
        </row>
        <row r="151">
          <cell r="A151">
            <v>21450150609</v>
          </cell>
          <cell r="B151" t="str">
            <v>胡雅蓝</v>
          </cell>
          <cell r="C151" t="str">
            <v>物联网2201</v>
          </cell>
          <cell r="D151">
            <v>0</v>
          </cell>
          <cell r="E151" t="str">
            <v>无</v>
          </cell>
          <cell r="F151" t="str">
            <v>无</v>
          </cell>
        </row>
        <row r="152">
          <cell r="A152">
            <v>22403500104</v>
          </cell>
          <cell r="B152" t="str">
            <v>方怡豪</v>
          </cell>
          <cell r="C152" t="str">
            <v>物联网2202</v>
          </cell>
          <cell r="D152">
            <v>10</v>
          </cell>
          <cell r="E152" t="str">
            <v>Linux操作系统,传感器原理及应用,信息技术导论,单片机与接口技术,单片机开发综合实训,数据通信技术,移动应用开发,计算机操作系统,计算机网络,面向过程程序设计(C语言)课程设计</v>
          </cell>
          <cell r="F152" t="str">
            <v>无</v>
          </cell>
        </row>
        <row r="153">
          <cell r="A153">
            <v>22403500235</v>
          </cell>
          <cell r="B153" t="str">
            <v>张哲</v>
          </cell>
          <cell r="C153" t="str">
            <v>物联网2201</v>
          </cell>
          <cell r="D153">
            <v>1</v>
          </cell>
          <cell r="E153" t="str">
            <v>计算机基础A</v>
          </cell>
          <cell r="F153" t="str">
            <v>无</v>
          </cell>
        </row>
        <row r="154">
          <cell r="A154">
            <v>22408000305</v>
          </cell>
          <cell r="B154" t="str">
            <v>段佳豪</v>
          </cell>
          <cell r="C154" t="str">
            <v>物联网2201</v>
          </cell>
          <cell r="D154">
            <v>0</v>
          </cell>
          <cell r="E154" t="str">
            <v>无</v>
          </cell>
          <cell r="F154" t="str">
            <v>无</v>
          </cell>
        </row>
        <row r="155">
          <cell r="A155">
            <v>22408000306</v>
          </cell>
          <cell r="B155" t="str">
            <v>古尼克孜·塔西</v>
          </cell>
          <cell r="C155" t="str">
            <v>物联网2201</v>
          </cell>
          <cell r="D155">
            <v>0</v>
          </cell>
          <cell r="E155" t="str">
            <v>无</v>
          </cell>
          <cell r="F155" t="str">
            <v>无</v>
          </cell>
        </row>
        <row r="156">
          <cell r="A156">
            <v>22408000317</v>
          </cell>
          <cell r="B156" t="str">
            <v>梁斌</v>
          </cell>
          <cell r="C156" t="str">
            <v>物联网2201</v>
          </cell>
          <cell r="D156">
            <v>0</v>
          </cell>
          <cell r="E156" t="str">
            <v>无</v>
          </cell>
          <cell r="F156" t="str">
            <v>无</v>
          </cell>
        </row>
        <row r="157">
          <cell r="A157">
            <v>22408000320</v>
          </cell>
          <cell r="B157" t="str">
            <v>刘博文</v>
          </cell>
          <cell r="C157" t="str">
            <v>物联网2201</v>
          </cell>
          <cell r="D157">
            <v>0</v>
          </cell>
          <cell r="E157" t="str">
            <v>无</v>
          </cell>
          <cell r="F157" t="str">
            <v>一般困难</v>
          </cell>
        </row>
        <row r="158">
          <cell r="A158">
            <v>22408000324</v>
          </cell>
          <cell r="B158" t="str">
            <v>欧阳超</v>
          </cell>
          <cell r="C158" t="str">
            <v>物联网2201</v>
          </cell>
          <cell r="D158">
            <v>0</v>
          </cell>
          <cell r="E158" t="str">
            <v>无</v>
          </cell>
          <cell r="F158" t="str">
            <v>无</v>
          </cell>
        </row>
        <row r="159">
          <cell r="A159">
            <v>22408000337</v>
          </cell>
          <cell r="B159" t="str">
            <v>于千淮</v>
          </cell>
          <cell r="C159" t="str">
            <v>物联网2201</v>
          </cell>
          <cell r="D159">
            <v>0</v>
          </cell>
          <cell r="E159" t="str">
            <v>无</v>
          </cell>
          <cell r="F159" t="str">
            <v>无</v>
          </cell>
        </row>
        <row r="160">
          <cell r="A160">
            <v>22408000338</v>
          </cell>
          <cell r="B160" t="str">
            <v>于照潘</v>
          </cell>
          <cell r="C160" t="str">
            <v>物联网2201</v>
          </cell>
          <cell r="D160">
            <v>0</v>
          </cell>
          <cell r="E160" t="str">
            <v>无</v>
          </cell>
          <cell r="F160" t="str">
            <v>无</v>
          </cell>
        </row>
        <row r="161">
          <cell r="A161">
            <v>22408000342</v>
          </cell>
          <cell r="B161" t="str">
            <v>周林峰</v>
          </cell>
          <cell r="C161" t="str">
            <v>物联网2201</v>
          </cell>
          <cell r="D161">
            <v>0</v>
          </cell>
          <cell r="E161" t="str">
            <v>无</v>
          </cell>
          <cell r="F161" t="str">
            <v>无</v>
          </cell>
        </row>
        <row r="162">
          <cell r="A162">
            <v>22408000405</v>
          </cell>
          <cell r="B162" t="str">
            <v>陈思颖</v>
          </cell>
          <cell r="C162" t="str">
            <v>物联网2201</v>
          </cell>
          <cell r="D162">
            <v>0</v>
          </cell>
          <cell r="E162" t="str">
            <v>无</v>
          </cell>
          <cell r="F162" t="str">
            <v>无</v>
          </cell>
        </row>
        <row r="163">
          <cell r="A163">
            <v>22408000407</v>
          </cell>
          <cell r="B163" t="str">
            <v>陈泽宇</v>
          </cell>
          <cell r="C163" t="str">
            <v>物联网2201</v>
          </cell>
          <cell r="D163">
            <v>0</v>
          </cell>
          <cell r="E163" t="str">
            <v>无</v>
          </cell>
          <cell r="F163" t="str">
            <v>无</v>
          </cell>
        </row>
        <row r="164">
          <cell r="A164">
            <v>22408000426</v>
          </cell>
          <cell r="B164" t="str">
            <v>卿泽君</v>
          </cell>
          <cell r="C164" t="str">
            <v>物联网2201</v>
          </cell>
          <cell r="D164">
            <v>0</v>
          </cell>
          <cell r="E164" t="str">
            <v>无</v>
          </cell>
          <cell r="F164" t="str">
            <v>无</v>
          </cell>
        </row>
        <row r="165">
          <cell r="A165">
            <v>22408000430</v>
          </cell>
          <cell r="B165" t="str">
            <v>王璞</v>
          </cell>
          <cell r="C165" t="str">
            <v>物联网2201</v>
          </cell>
          <cell r="D165">
            <v>0</v>
          </cell>
          <cell r="E165" t="str">
            <v>无</v>
          </cell>
          <cell r="F165" t="str">
            <v>无</v>
          </cell>
        </row>
        <row r="166">
          <cell r="A166">
            <v>22408000432</v>
          </cell>
          <cell r="B166" t="str">
            <v>徐赫琦</v>
          </cell>
          <cell r="C166" t="str">
            <v>物联网2201</v>
          </cell>
          <cell r="D166">
            <v>0</v>
          </cell>
          <cell r="E166" t="str">
            <v>无</v>
          </cell>
          <cell r="F166" t="str">
            <v>无</v>
          </cell>
        </row>
        <row r="167">
          <cell r="A167">
            <v>22408000441</v>
          </cell>
          <cell r="B167" t="str">
            <v>周添钊</v>
          </cell>
          <cell r="C167" t="str">
            <v>物联网2201</v>
          </cell>
          <cell r="D167">
            <v>0</v>
          </cell>
          <cell r="E167" t="str">
            <v>无</v>
          </cell>
          <cell r="F167" t="str">
            <v>特别困难</v>
          </cell>
        </row>
        <row r="168">
          <cell r="A168">
            <v>22408000501</v>
          </cell>
          <cell r="B168" t="str">
            <v>曾杰</v>
          </cell>
          <cell r="C168" t="str">
            <v>物联网2202</v>
          </cell>
          <cell r="D168">
            <v>0</v>
          </cell>
          <cell r="E168" t="str">
            <v>无</v>
          </cell>
          <cell r="F168" t="str">
            <v>无</v>
          </cell>
        </row>
        <row r="169">
          <cell r="A169">
            <v>22408000502</v>
          </cell>
          <cell r="B169" t="str">
            <v>陈凯</v>
          </cell>
          <cell r="C169" t="str">
            <v>物联网2202</v>
          </cell>
          <cell r="D169">
            <v>0</v>
          </cell>
          <cell r="E169" t="str">
            <v>无</v>
          </cell>
          <cell r="F169" t="str">
            <v>无</v>
          </cell>
        </row>
        <row r="170">
          <cell r="A170">
            <v>22408000506</v>
          </cell>
          <cell r="B170" t="str">
            <v>范仲杰</v>
          </cell>
          <cell r="C170" t="str">
            <v>物联网2202</v>
          </cell>
          <cell r="D170">
            <v>0</v>
          </cell>
          <cell r="E170" t="str">
            <v>无</v>
          </cell>
          <cell r="F170" t="str">
            <v>无</v>
          </cell>
        </row>
        <row r="171">
          <cell r="A171">
            <v>22408000507</v>
          </cell>
          <cell r="B171" t="str">
            <v>冯汉宇</v>
          </cell>
          <cell r="C171" t="str">
            <v>物联网2202</v>
          </cell>
          <cell r="D171">
            <v>0</v>
          </cell>
          <cell r="E171" t="str">
            <v>无</v>
          </cell>
          <cell r="F171" t="str">
            <v>无</v>
          </cell>
        </row>
        <row r="172">
          <cell r="A172">
            <v>22408000509</v>
          </cell>
          <cell r="B172" t="str">
            <v>何本涛</v>
          </cell>
          <cell r="C172" t="str">
            <v>物联网2202</v>
          </cell>
          <cell r="D172">
            <v>0</v>
          </cell>
          <cell r="E172" t="str">
            <v>无</v>
          </cell>
          <cell r="F172" t="str">
            <v>无</v>
          </cell>
        </row>
        <row r="173">
          <cell r="A173">
            <v>22408000511</v>
          </cell>
          <cell r="B173" t="str">
            <v>黄日成</v>
          </cell>
          <cell r="C173" t="str">
            <v>物联网2202</v>
          </cell>
          <cell r="D173">
            <v>0</v>
          </cell>
          <cell r="E173" t="str">
            <v>无</v>
          </cell>
          <cell r="F173" t="str">
            <v>无</v>
          </cell>
        </row>
        <row r="174">
          <cell r="A174">
            <v>22408000523</v>
          </cell>
          <cell r="B174" t="str">
            <v>欧阳巍涛</v>
          </cell>
          <cell r="C174" t="str">
            <v>物联网2202</v>
          </cell>
          <cell r="D174">
            <v>0</v>
          </cell>
          <cell r="E174" t="str">
            <v>无</v>
          </cell>
          <cell r="F174" t="str">
            <v>特别困难</v>
          </cell>
        </row>
        <row r="175">
          <cell r="A175">
            <v>22408000527</v>
          </cell>
          <cell r="B175" t="str">
            <v>谭鑫</v>
          </cell>
          <cell r="C175" t="str">
            <v>物联网2202</v>
          </cell>
          <cell r="D175">
            <v>0</v>
          </cell>
          <cell r="E175" t="str">
            <v>无</v>
          </cell>
          <cell r="F175" t="str">
            <v>无</v>
          </cell>
        </row>
        <row r="176">
          <cell r="A176">
            <v>22408000537</v>
          </cell>
          <cell r="B176" t="str">
            <v>许杨斌</v>
          </cell>
          <cell r="C176" t="str">
            <v>物联网2202</v>
          </cell>
          <cell r="D176">
            <v>0</v>
          </cell>
          <cell r="E176" t="str">
            <v>无</v>
          </cell>
          <cell r="F176" t="str">
            <v>特别困难</v>
          </cell>
        </row>
        <row r="177">
          <cell r="A177">
            <v>22408000542</v>
          </cell>
          <cell r="B177" t="str">
            <v>周吴海</v>
          </cell>
          <cell r="C177" t="str">
            <v>物联网2202</v>
          </cell>
          <cell r="D177">
            <v>0</v>
          </cell>
          <cell r="E177" t="str">
            <v>无</v>
          </cell>
          <cell r="F177" t="str">
            <v>无</v>
          </cell>
        </row>
        <row r="178">
          <cell r="A178">
            <v>22408000604</v>
          </cell>
          <cell r="B178" t="str">
            <v>陈舟宇</v>
          </cell>
          <cell r="C178" t="str">
            <v>物联网2202</v>
          </cell>
          <cell r="D178">
            <v>0</v>
          </cell>
          <cell r="E178" t="str">
            <v>无</v>
          </cell>
          <cell r="F178" t="str">
            <v>无</v>
          </cell>
        </row>
        <row r="179">
          <cell r="A179">
            <v>22408000611</v>
          </cell>
          <cell r="B179" t="str">
            <v>华丰炜</v>
          </cell>
          <cell r="C179" t="str">
            <v>物联网2202</v>
          </cell>
          <cell r="D179">
            <v>0</v>
          </cell>
          <cell r="E179" t="str">
            <v>无</v>
          </cell>
          <cell r="F179" t="str">
            <v>无</v>
          </cell>
        </row>
        <row r="180">
          <cell r="A180">
            <v>22408000615</v>
          </cell>
          <cell r="B180" t="str">
            <v>李立帅</v>
          </cell>
          <cell r="C180" t="str">
            <v>物联网2202</v>
          </cell>
          <cell r="D180">
            <v>1</v>
          </cell>
          <cell r="E180" t="str">
            <v>无线传感网原理及应用课程设计</v>
          </cell>
          <cell r="F180" t="str">
            <v>无</v>
          </cell>
        </row>
        <row r="181">
          <cell r="A181">
            <v>22408000616</v>
          </cell>
          <cell r="B181" t="str">
            <v>李璐</v>
          </cell>
          <cell r="C181" t="str">
            <v>物联网2202</v>
          </cell>
          <cell r="D181">
            <v>0</v>
          </cell>
          <cell r="E181" t="str">
            <v>无</v>
          </cell>
          <cell r="F181" t="str">
            <v>特别困难</v>
          </cell>
        </row>
        <row r="182">
          <cell r="A182">
            <v>22408000627</v>
          </cell>
          <cell r="B182" t="str">
            <v>孙家聪</v>
          </cell>
          <cell r="C182" t="str">
            <v>物联网2202</v>
          </cell>
          <cell r="D182">
            <v>2</v>
          </cell>
          <cell r="E182" t="str">
            <v>单片机与接口技术,数据库原理</v>
          </cell>
          <cell r="F182" t="str">
            <v>无</v>
          </cell>
        </row>
        <row r="183">
          <cell r="A183">
            <v>22408000628</v>
          </cell>
          <cell r="B183" t="str">
            <v>唐韩</v>
          </cell>
          <cell r="C183" t="str">
            <v>物联网2202</v>
          </cell>
          <cell r="D183">
            <v>0</v>
          </cell>
          <cell r="E183" t="str">
            <v>无</v>
          </cell>
          <cell r="F183" t="str">
            <v>无</v>
          </cell>
        </row>
        <row r="184">
          <cell r="A184">
            <v>22408000635</v>
          </cell>
          <cell r="B184" t="str">
            <v>许伦杰</v>
          </cell>
          <cell r="C184" t="str">
            <v>物联网2202</v>
          </cell>
          <cell r="D184">
            <v>0</v>
          </cell>
          <cell r="E184" t="str">
            <v>无</v>
          </cell>
          <cell r="F184" t="str">
            <v>无</v>
          </cell>
        </row>
        <row r="185">
          <cell r="A185">
            <v>22408000639</v>
          </cell>
          <cell r="B185" t="str">
            <v>张耀</v>
          </cell>
          <cell r="C185" t="str">
            <v>物联网2202</v>
          </cell>
          <cell r="D185">
            <v>1</v>
          </cell>
          <cell r="E185" t="str">
            <v>无线传感网原理及应用课程设计</v>
          </cell>
          <cell r="F185" t="str">
            <v>无</v>
          </cell>
        </row>
        <row r="186">
          <cell r="A186">
            <v>22408000705</v>
          </cell>
          <cell r="B186" t="str">
            <v>杜红文</v>
          </cell>
          <cell r="C186" t="str">
            <v>物联网2201</v>
          </cell>
          <cell r="D186">
            <v>0</v>
          </cell>
          <cell r="E186" t="str">
            <v>无</v>
          </cell>
          <cell r="F186" t="str">
            <v>无</v>
          </cell>
        </row>
        <row r="187">
          <cell r="A187">
            <v>22408000711</v>
          </cell>
          <cell r="B187" t="str">
            <v>黄亚明</v>
          </cell>
          <cell r="C187" t="str">
            <v>物联网2201</v>
          </cell>
          <cell r="D187">
            <v>1</v>
          </cell>
          <cell r="E187" t="str">
            <v>Linux操作系统</v>
          </cell>
          <cell r="F187" t="str">
            <v>无</v>
          </cell>
        </row>
        <row r="188">
          <cell r="A188">
            <v>22408000721</v>
          </cell>
          <cell r="B188" t="str">
            <v>刘瑜</v>
          </cell>
          <cell r="C188" t="str">
            <v>物联网2201</v>
          </cell>
          <cell r="D188">
            <v>0</v>
          </cell>
          <cell r="E188" t="str">
            <v>无</v>
          </cell>
          <cell r="F188" t="str">
            <v>无</v>
          </cell>
        </row>
        <row r="189">
          <cell r="A189">
            <v>22408000724</v>
          </cell>
          <cell r="B189" t="str">
            <v>罗浩</v>
          </cell>
          <cell r="C189" t="str">
            <v>物联网2201</v>
          </cell>
          <cell r="D189">
            <v>0</v>
          </cell>
          <cell r="E189" t="str">
            <v>无</v>
          </cell>
          <cell r="F189" t="str">
            <v>无</v>
          </cell>
        </row>
        <row r="190">
          <cell r="A190">
            <v>22408000726</v>
          </cell>
          <cell r="B190" t="str">
            <v>马威</v>
          </cell>
          <cell r="C190" t="str">
            <v>物联网2201</v>
          </cell>
          <cell r="D190">
            <v>0</v>
          </cell>
          <cell r="E190" t="str">
            <v>无</v>
          </cell>
          <cell r="F190" t="str">
            <v>无</v>
          </cell>
        </row>
        <row r="191">
          <cell r="A191">
            <v>22408000728</v>
          </cell>
          <cell r="B191" t="str">
            <v>欧阳旭宏</v>
          </cell>
          <cell r="C191" t="str">
            <v>物联网2201</v>
          </cell>
          <cell r="D191">
            <v>0</v>
          </cell>
          <cell r="E191" t="str">
            <v>无</v>
          </cell>
          <cell r="F191" t="str">
            <v>无</v>
          </cell>
        </row>
        <row r="192">
          <cell r="A192">
            <v>22408000732</v>
          </cell>
          <cell r="B192" t="str">
            <v>宋俊杰</v>
          </cell>
          <cell r="C192" t="str">
            <v>物联网2201</v>
          </cell>
          <cell r="D192">
            <v>0</v>
          </cell>
          <cell r="E192" t="str">
            <v>无</v>
          </cell>
          <cell r="F192" t="str">
            <v>无</v>
          </cell>
        </row>
        <row r="193">
          <cell r="A193">
            <v>22408000733</v>
          </cell>
          <cell r="B193" t="str">
            <v>唐杰</v>
          </cell>
          <cell r="C193" t="str">
            <v>物联网2201</v>
          </cell>
          <cell r="D193">
            <v>0</v>
          </cell>
          <cell r="E193" t="str">
            <v>无</v>
          </cell>
          <cell r="F193" t="str">
            <v>无</v>
          </cell>
        </row>
        <row r="194">
          <cell r="A194">
            <v>22408000804</v>
          </cell>
          <cell r="B194" t="str">
            <v>常睿杰</v>
          </cell>
          <cell r="C194" t="str">
            <v>物联网2202</v>
          </cell>
          <cell r="D194">
            <v>0</v>
          </cell>
          <cell r="E194" t="str">
            <v>无</v>
          </cell>
          <cell r="F194" t="str">
            <v>无</v>
          </cell>
        </row>
        <row r="195">
          <cell r="A195">
            <v>22408000805</v>
          </cell>
          <cell r="B195" t="str">
            <v>陈俞争</v>
          </cell>
          <cell r="C195" t="str">
            <v>物联网2202</v>
          </cell>
          <cell r="D195">
            <v>0</v>
          </cell>
          <cell r="E195" t="str">
            <v>无</v>
          </cell>
          <cell r="F195" t="str">
            <v>特别困难</v>
          </cell>
        </row>
        <row r="196">
          <cell r="A196">
            <v>22408000808</v>
          </cell>
          <cell r="B196" t="str">
            <v>伏宇轩</v>
          </cell>
          <cell r="C196" t="str">
            <v>物联网2202</v>
          </cell>
          <cell r="D196">
            <v>0</v>
          </cell>
          <cell r="E196" t="str">
            <v>无</v>
          </cell>
          <cell r="F196" t="str">
            <v>无</v>
          </cell>
        </row>
        <row r="197">
          <cell r="A197">
            <v>22408000818</v>
          </cell>
          <cell r="B197" t="str">
            <v>李泽森</v>
          </cell>
          <cell r="C197" t="str">
            <v>物联网2202</v>
          </cell>
          <cell r="D197">
            <v>0</v>
          </cell>
          <cell r="E197" t="str">
            <v>无</v>
          </cell>
          <cell r="F197" t="str">
            <v>无</v>
          </cell>
        </row>
        <row r="198">
          <cell r="A198">
            <v>22408000823</v>
          </cell>
          <cell r="B198" t="str">
            <v>骆铠嘉</v>
          </cell>
          <cell r="C198" t="str">
            <v>物联网2202</v>
          </cell>
          <cell r="D198">
            <v>3</v>
          </cell>
          <cell r="E198" t="str">
            <v>Java程序设计,数据结构,计算机组成原理</v>
          </cell>
          <cell r="F198" t="str">
            <v>无</v>
          </cell>
        </row>
        <row r="199">
          <cell r="A199">
            <v>22408000824</v>
          </cell>
          <cell r="B199" t="str">
            <v>马洲航</v>
          </cell>
          <cell r="C199" t="str">
            <v>物联网2202</v>
          </cell>
          <cell r="D199">
            <v>0</v>
          </cell>
          <cell r="E199" t="str">
            <v>无</v>
          </cell>
          <cell r="F199" t="str">
            <v>无</v>
          </cell>
        </row>
        <row r="200">
          <cell r="A200">
            <v>22408000828</v>
          </cell>
          <cell r="B200" t="str">
            <v>曲晓雨</v>
          </cell>
          <cell r="C200" t="str">
            <v>物联网2202</v>
          </cell>
          <cell r="D200">
            <v>0</v>
          </cell>
          <cell r="E200" t="str">
            <v>无</v>
          </cell>
          <cell r="F200" t="str">
            <v>无</v>
          </cell>
        </row>
        <row r="201">
          <cell r="A201">
            <v>22408000833</v>
          </cell>
          <cell r="B201" t="str">
            <v>王思成</v>
          </cell>
          <cell r="C201" t="str">
            <v>物联网2202</v>
          </cell>
          <cell r="D201">
            <v>0</v>
          </cell>
          <cell r="E201" t="str">
            <v>无</v>
          </cell>
          <cell r="F201" t="str">
            <v>无</v>
          </cell>
        </row>
        <row r="202">
          <cell r="A202">
            <v>22408000842</v>
          </cell>
          <cell r="B202" t="str">
            <v>周志鹏</v>
          </cell>
          <cell r="C202" t="str">
            <v>物联网2202</v>
          </cell>
          <cell r="D202">
            <v>0</v>
          </cell>
          <cell r="E202" t="str">
            <v>无</v>
          </cell>
          <cell r="F202" t="str">
            <v>无</v>
          </cell>
        </row>
        <row r="203">
          <cell r="A203">
            <v>22408000904</v>
          </cell>
          <cell r="B203" t="str">
            <v>陈宇</v>
          </cell>
          <cell r="C203" t="str">
            <v>物联网2201</v>
          </cell>
          <cell r="D203">
            <v>0</v>
          </cell>
          <cell r="E203" t="str">
            <v>无</v>
          </cell>
          <cell r="F203" t="str">
            <v>一般困难</v>
          </cell>
        </row>
        <row r="204">
          <cell r="A204">
            <v>22408000907</v>
          </cell>
          <cell r="B204" t="str">
            <v>高梓洋</v>
          </cell>
          <cell r="C204" t="str">
            <v>物联网2201</v>
          </cell>
          <cell r="D204">
            <v>0</v>
          </cell>
          <cell r="E204" t="str">
            <v>无</v>
          </cell>
          <cell r="F204" t="str">
            <v>无</v>
          </cell>
        </row>
        <row r="205">
          <cell r="A205">
            <v>22408000910</v>
          </cell>
          <cell r="B205" t="str">
            <v>胡子杨</v>
          </cell>
          <cell r="C205" t="str">
            <v>物联网2201</v>
          </cell>
          <cell r="D205">
            <v>0</v>
          </cell>
          <cell r="E205" t="str">
            <v>无</v>
          </cell>
          <cell r="F205" t="str">
            <v>无</v>
          </cell>
        </row>
        <row r="206">
          <cell r="A206">
            <v>22408000912</v>
          </cell>
          <cell r="B206" t="str">
            <v>黄昭文</v>
          </cell>
          <cell r="C206" t="str">
            <v>物联网2201</v>
          </cell>
          <cell r="D206">
            <v>0</v>
          </cell>
          <cell r="E206" t="str">
            <v>无</v>
          </cell>
          <cell r="F206" t="str">
            <v>无</v>
          </cell>
        </row>
        <row r="207">
          <cell r="A207">
            <v>22408000914</v>
          </cell>
          <cell r="B207" t="str">
            <v>李春林</v>
          </cell>
          <cell r="C207" t="str">
            <v>物联网2201</v>
          </cell>
          <cell r="D207">
            <v>0</v>
          </cell>
          <cell r="E207" t="str">
            <v>无</v>
          </cell>
          <cell r="F207" t="str">
            <v>无</v>
          </cell>
        </row>
        <row r="208">
          <cell r="A208">
            <v>22408000924</v>
          </cell>
          <cell r="B208" t="str">
            <v>钱春燕</v>
          </cell>
          <cell r="C208" t="str">
            <v>物联网2201</v>
          </cell>
          <cell r="D208">
            <v>0</v>
          </cell>
          <cell r="E208" t="str">
            <v>无</v>
          </cell>
          <cell r="F208" t="str">
            <v>特别困难</v>
          </cell>
        </row>
        <row r="209">
          <cell r="A209">
            <v>22408000926</v>
          </cell>
          <cell r="B209" t="str">
            <v>唐卓辉</v>
          </cell>
          <cell r="C209" t="str">
            <v>物联网2202</v>
          </cell>
          <cell r="D209">
            <v>0</v>
          </cell>
          <cell r="E209" t="str">
            <v>无</v>
          </cell>
          <cell r="F209" t="str">
            <v>无</v>
          </cell>
        </row>
        <row r="210">
          <cell r="A210">
            <v>22408000929</v>
          </cell>
          <cell r="B210" t="str">
            <v>王晓雯</v>
          </cell>
          <cell r="C210" t="str">
            <v>物联网2201</v>
          </cell>
          <cell r="D210">
            <v>0</v>
          </cell>
          <cell r="E210" t="str">
            <v>无</v>
          </cell>
          <cell r="F210" t="str">
            <v>无</v>
          </cell>
        </row>
        <row r="211">
          <cell r="A211">
            <v>22408000931</v>
          </cell>
          <cell r="B211" t="str">
            <v>文子杰</v>
          </cell>
          <cell r="C211" t="str">
            <v>物联网2202</v>
          </cell>
          <cell r="D211">
            <v>0</v>
          </cell>
          <cell r="E211" t="str">
            <v>无</v>
          </cell>
          <cell r="F211" t="str">
            <v>无</v>
          </cell>
        </row>
        <row r="212">
          <cell r="A212">
            <v>22408000932</v>
          </cell>
          <cell r="B212" t="str">
            <v>肖鹏</v>
          </cell>
          <cell r="C212" t="str">
            <v>物联网2202</v>
          </cell>
          <cell r="D212">
            <v>0</v>
          </cell>
          <cell r="E212" t="str">
            <v>无</v>
          </cell>
          <cell r="F212" t="str">
            <v>无</v>
          </cell>
        </row>
        <row r="213">
          <cell r="A213">
            <v>22408000942</v>
          </cell>
          <cell r="B213" t="str">
            <v>周重德</v>
          </cell>
          <cell r="C213" t="str">
            <v>物联网2202</v>
          </cell>
          <cell r="D213">
            <v>0</v>
          </cell>
          <cell r="E213" t="str">
            <v>无</v>
          </cell>
          <cell r="F213" t="str">
            <v>特别困难</v>
          </cell>
        </row>
        <row r="214">
          <cell r="A214">
            <v>22415300240</v>
          </cell>
          <cell r="B214" t="str">
            <v>庄琪智</v>
          </cell>
          <cell r="C214" t="str">
            <v>物联网2201</v>
          </cell>
          <cell r="D214">
            <v>1</v>
          </cell>
          <cell r="E214" t="str">
            <v>计算机基础B</v>
          </cell>
          <cell r="F214" t="str">
            <v>无</v>
          </cell>
        </row>
        <row r="215">
          <cell r="A215">
            <v>22419300125</v>
          </cell>
          <cell r="B215" t="str">
            <v>王攀</v>
          </cell>
          <cell r="C215" t="str">
            <v>物联网2202</v>
          </cell>
          <cell r="D215">
            <v>0</v>
          </cell>
          <cell r="E215" t="str">
            <v>无</v>
          </cell>
          <cell r="F215" t="str">
            <v>无</v>
          </cell>
        </row>
        <row r="216">
          <cell r="A216">
            <v>20450150217</v>
          </cell>
          <cell r="B216" t="str">
            <v>刘春阳</v>
          </cell>
          <cell r="C216" t="str">
            <v>网络工程2201</v>
          </cell>
          <cell r="D216">
            <v>0</v>
          </cell>
          <cell r="E216" t="str">
            <v>无</v>
          </cell>
          <cell r="F216" t="str">
            <v>无</v>
          </cell>
        </row>
        <row r="217">
          <cell r="A217">
            <v>21408000102</v>
          </cell>
          <cell r="B217" t="str">
            <v>曹靖</v>
          </cell>
          <cell r="C217" t="str">
            <v>网络工程2202</v>
          </cell>
          <cell r="D217">
            <v>3</v>
          </cell>
          <cell r="E217" t="str">
            <v>Web系统开发,Web系统开发课程设计,机器学习</v>
          </cell>
          <cell r="F217" t="str">
            <v>无</v>
          </cell>
        </row>
        <row r="218">
          <cell r="A218">
            <v>21408000120</v>
          </cell>
          <cell r="B218" t="str">
            <v>杨少聪</v>
          </cell>
          <cell r="C218" t="str">
            <v>网络工程2201</v>
          </cell>
          <cell r="D218">
            <v>9</v>
          </cell>
          <cell r="E218" t="str">
            <v>Linux网络应用综合实践,Web系统开发,Web系统开发课程设计,Web设计基础课程设计,云计算技术,网络协议分析,网络安全基础综合实践,计算机网络,路由与交换技术课程设计</v>
          </cell>
          <cell r="F218" t="str">
            <v>无</v>
          </cell>
        </row>
        <row r="219">
          <cell r="A219">
            <v>21408000622</v>
          </cell>
          <cell r="B219" t="str">
            <v>徐思宇</v>
          </cell>
          <cell r="C219" t="str">
            <v>网络工程2103</v>
          </cell>
          <cell r="D219">
            <v>2</v>
          </cell>
          <cell r="E219" t="str">
            <v>毕业实习B,毕业设计（论文）B</v>
          </cell>
          <cell r="F219" t="str">
            <v>无</v>
          </cell>
        </row>
        <row r="220">
          <cell r="A220">
            <v>21408000720</v>
          </cell>
          <cell r="B220" t="str">
            <v>向卓</v>
          </cell>
          <cell r="C220" t="str">
            <v>网络工程2102</v>
          </cell>
          <cell r="D220">
            <v>0</v>
          </cell>
          <cell r="E220" t="str">
            <v>无</v>
          </cell>
          <cell r="F220" t="str">
            <v>无</v>
          </cell>
        </row>
        <row r="221">
          <cell r="A221">
            <v>22403000538</v>
          </cell>
          <cell r="B221" t="str">
            <v>张司景</v>
          </cell>
          <cell r="C221" t="str">
            <v>网络工程2202</v>
          </cell>
          <cell r="D221">
            <v>0</v>
          </cell>
          <cell r="E221" t="str">
            <v>无</v>
          </cell>
          <cell r="F221" t="str">
            <v>无</v>
          </cell>
        </row>
        <row r="222">
          <cell r="A222">
            <v>22408000301</v>
          </cell>
          <cell r="B222" t="str">
            <v>蔡民望</v>
          </cell>
          <cell r="C222" t="str">
            <v>网络工程2201</v>
          </cell>
          <cell r="D222">
            <v>0</v>
          </cell>
          <cell r="E222" t="str">
            <v>无</v>
          </cell>
          <cell r="F222" t="str">
            <v>无</v>
          </cell>
        </row>
        <row r="223">
          <cell r="A223">
            <v>22408000304</v>
          </cell>
          <cell r="B223" t="str">
            <v>陈泽霖</v>
          </cell>
          <cell r="C223" t="str">
            <v>网络工程2201</v>
          </cell>
          <cell r="D223">
            <v>0</v>
          </cell>
          <cell r="E223" t="str">
            <v>无</v>
          </cell>
          <cell r="F223" t="str">
            <v>无</v>
          </cell>
        </row>
        <row r="224">
          <cell r="A224">
            <v>22408000307</v>
          </cell>
          <cell r="B224" t="str">
            <v>郭思宇</v>
          </cell>
          <cell r="C224" t="str">
            <v>网络工程2201</v>
          </cell>
          <cell r="D224">
            <v>0</v>
          </cell>
          <cell r="E224" t="str">
            <v>无</v>
          </cell>
          <cell r="F224" t="str">
            <v>困难</v>
          </cell>
        </row>
        <row r="225">
          <cell r="A225">
            <v>22408000308</v>
          </cell>
          <cell r="B225" t="str">
            <v>郭子纲</v>
          </cell>
          <cell r="C225" t="str">
            <v>网络工程2201</v>
          </cell>
          <cell r="D225">
            <v>0</v>
          </cell>
          <cell r="E225" t="str">
            <v>无</v>
          </cell>
          <cell r="F225" t="str">
            <v>无</v>
          </cell>
        </row>
        <row r="226">
          <cell r="A226">
            <v>22408000313</v>
          </cell>
          <cell r="B226" t="str">
            <v>胡雨蒙</v>
          </cell>
          <cell r="C226" t="str">
            <v>网络工程2201</v>
          </cell>
          <cell r="D226">
            <v>0</v>
          </cell>
          <cell r="E226" t="str">
            <v>无</v>
          </cell>
          <cell r="F226" t="str">
            <v>无</v>
          </cell>
        </row>
        <row r="227">
          <cell r="A227">
            <v>22408000315</v>
          </cell>
          <cell r="B227" t="str">
            <v>江鑫</v>
          </cell>
          <cell r="C227" t="str">
            <v>网络工程2201</v>
          </cell>
          <cell r="D227">
            <v>0</v>
          </cell>
          <cell r="E227" t="str">
            <v>无</v>
          </cell>
          <cell r="F227" t="str">
            <v>无</v>
          </cell>
        </row>
        <row r="228">
          <cell r="A228">
            <v>22408000323</v>
          </cell>
          <cell r="B228" t="str">
            <v>龙晓哲</v>
          </cell>
          <cell r="C228" t="str">
            <v>网络工程2201</v>
          </cell>
          <cell r="D228">
            <v>0</v>
          </cell>
          <cell r="E228" t="str">
            <v>无</v>
          </cell>
          <cell r="F228" t="str">
            <v>无</v>
          </cell>
        </row>
        <row r="229">
          <cell r="A229">
            <v>22408000327</v>
          </cell>
          <cell r="B229" t="str">
            <v>饶林青</v>
          </cell>
          <cell r="C229" t="str">
            <v>网络工程2201</v>
          </cell>
          <cell r="D229">
            <v>0</v>
          </cell>
          <cell r="E229" t="str">
            <v>无</v>
          </cell>
          <cell r="F229" t="str">
            <v>一般困难</v>
          </cell>
        </row>
        <row r="230">
          <cell r="A230">
            <v>22408000334</v>
          </cell>
          <cell r="B230" t="str">
            <v>谢天翔</v>
          </cell>
          <cell r="C230" t="str">
            <v>网络工程2201</v>
          </cell>
          <cell r="D230">
            <v>0</v>
          </cell>
          <cell r="E230" t="str">
            <v>无</v>
          </cell>
          <cell r="F230" t="str">
            <v>无</v>
          </cell>
        </row>
        <row r="231">
          <cell r="A231">
            <v>22408000335</v>
          </cell>
          <cell r="B231" t="str">
            <v>杨志超</v>
          </cell>
          <cell r="C231" t="str">
            <v>网络工程2201</v>
          </cell>
          <cell r="D231">
            <v>0</v>
          </cell>
          <cell r="E231" t="str">
            <v>无</v>
          </cell>
          <cell r="F231" t="str">
            <v>无</v>
          </cell>
        </row>
        <row r="232">
          <cell r="A232">
            <v>22408000339</v>
          </cell>
          <cell r="B232" t="str">
            <v>岳诗琪</v>
          </cell>
          <cell r="C232" t="str">
            <v>网络工程2201</v>
          </cell>
          <cell r="D232">
            <v>0</v>
          </cell>
          <cell r="E232" t="str">
            <v>无</v>
          </cell>
          <cell r="F232" t="str">
            <v>一般困难</v>
          </cell>
        </row>
        <row r="233">
          <cell r="A233">
            <v>22408000401</v>
          </cell>
          <cell r="B233" t="str">
            <v>蔡心怡</v>
          </cell>
          <cell r="C233" t="str">
            <v>网络工程2202</v>
          </cell>
          <cell r="D233">
            <v>0</v>
          </cell>
          <cell r="E233" t="str">
            <v>无</v>
          </cell>
          <cell r="F233" t="str">
            <v>无</v>
          </cell>
        </row>
        <row r="234">
          <cell r="A234">
            <v>22408000403</v>
          </cell>
          <cell r="B234" t="str">
            <v>陈浩</v>
          </cell>
          <cell r="C234" t="str">
            <v>网络工程2202</v>
          </cell>
          <cell r="D234">
            <v>0</v>
          </cell>
          <cell r="E234" t="str">
            <v>无</v>
          </cell>
          <cell r="F234" t="str">
            <v>特别困难</v>
          </cell>
        </row>
        <row r="235">
          <cell r="A235">
            <v>22408000404</v>
          </cell>
          <cell r="B235" t="str">
            <v>陈弘林</v>
          </cell>
          <cell r="C235" t="str">
            <v>网络工程2202</v>
          </cell>
          <cell r="D235">
            <v>0</v>
          </cell>
          <cell r="E235" t="str">
            <v>无</v>
          </cell>
          <cell r="F235" t="str">
            <v>无</v>
          </cell>
        </row>
        <row r="236">
          <cell r="A236">
            <v>22408000410</v>
          </cell>
          <cell r="B236" t="str">
            <v>韩金彪</v>
          </cell>
          <cell r="C236" t="str">
            <v>网络工程2202</v>
          </cell>
          <cell r="D236">
            <v>0</v>
          </cell>
          <cell r="E236" t="str">
            <v>无</v>
          </cell>
          <cell r="F236" t="str">
            <v>无</v>
          </cell>
        </row>
        <row r="237">
          <cell r="A237">
            <v>22408000411</v>
          </cell>
          <cell r="B237" t="str">
            <v>何嘉星</v>
          </cell>
          <cell r="C237" t="str">
            <v>网络工程2202</v>
          </cell>
          <cell r="D237">
            <v>1</v>
          </cell>
          <cell r="E237" t="str">
            <v>网络协议分析</v>
          </cell>
          <cell r="F237" t="str">
            <v>无</v>
          </cell>
        </row>
        <row r="238">
          <cell r="A238">
            <v>22408000413</v>
          </cell>
          <cell r="B238" t="str">
            <v>黄乾</v>
          </cell>
          <cell r="C238" t="str">
            <v>网络工程2202</v>
          </cell>
          <cell r="D238">
            <v>0</v>
          </cell>
          <cell r="E238" t="str">
            <v>无</v>
          </cell>
          <cell r="F238" t="str">
            <v>困难</v>
          </cell>
        </row>
        <row r="239">
          <cell r="A239">
            <v>22408000418</v>
          </cell>
          <cell r="B239" t="str">
            <v>廖守政</v>
          </cell>
          <cell r="C239" t="str">
            <v>网络工程2201</v>
          </cell>
          <cell r="D239">
            <v>0</v>
          </cell>
          <cell r="E239" t="str">
            <v>无</v>
          </cell>
          <cell r="F239" t="str">
            <v>无</v>
          </cell>
        </row>
        <row r="240">
          <cell r="A240">
            <v>22408000422</v>
          </cell>
          <cell r="B240" t="str">
            <v>龙新民</v>
          </cell>
          <cell r="C240" t="str">
            <v>网络工程2201</v>
          </cell>
          <cell r="D240">
            <v>0</v>
          </cell>
          <cell r="E240" t="str">
            <v>无</v>
          </cell>
          <cell r="F240" t="str">
            <v>无</v>
          </cell>
        </row>
        <row r="241">
          <cell r="A241">
            <v>22408000423</v>
          </cell>
          <cell r="B241" t="str">
            <v>卢佳乐</v>
          </cell>
          <cell r="C241" t="str">
            <v>网络工程2201</v>
          </cell>
          <cell r="D241">
            <v>0</v>
          </cell>
          <cell r="E241" t="str">
            <v>无</v>
          </cell>
          <cell r="F241" t="str">
            <v>无</v>
          </cell>
        </row>
        <row r="242">
          <cell r="A242">
            <v>22408000425</v>
          </cell>
          <cell r="B242" t="str">
            <v>欧阳冬冬</v>
          </cell>
          <cell r="C242" t="str">
            <v>网络工程2201</v>
          </cell>
          <cell r="D242">
            <v>0</v>
          </cell>
          <cell r="E242" t="str">
            <v>无</v>
          </cell>
          <cell r="F242" t="str">
            <v>无</v>
          </cell>
        </row>
        <row r="243">
          <cell r="A243">
            <v>22408000427</v>
          </cell>
          <cell r="B243" t="str">
            <v>谭菊安</v>
          </cell>
          <cell r="C243" t="str">
            <v>网络工程2201</v>
          </cell>
          <cell r="D243">
            <v>0</v>
          </cell>
          <cell r="E243" t="str">
            <v>无</v>
          </cell>
          <cell r="F243" t="str">
            <v>无</v>
          </cell>
        </row>
        <row r="244">
          <cell r="A244">
            <v>22408000428</v>
          </cell>
          <cell r="B244" t="str">
            <v>万书晴</v>
          </cell>
          <cell r="C244" t="str">
            <v>网络工程2202</v>
          </cell>
          <cell r="D244">
            <v>0</v>
          </cell>
          <cell r="E244" t="str">
            <v>无</v>
          </cell>
          <cell r="F244" t="str">
            <v>无</v>
          </cell>
        </row>
        <row r="245">
          <cell r="A245">
            <v>22408000435</v>
          </cell>
          <cell r="B245" t="str">
            <v>尹健</v>
          </cell>
          <cell r="C245" t="str">
            <v>网络工程2201</v>
          </cell>
          <cell r="D245">
            <v>0</v>
          </cell>
          <cell r="E245" t="str">
            <v>无</v>
          </cell>
          <cell r="F245" t="str">
            <v>特别困难</v>
          </cell>
        </row>
        <row r="246">
          <cell r="A246">
            <v>22408000439</v>
          </cell>
          <cell r="B246" t="str">
            <v>赵科宇</v>
          </cell>
          <cell r="C246" t="str">
            <v>网络工程2201</v>
          </cell>
          <cell r="D246">
            <v>0</v>
          </cell>
          <cell r="E246" t="str">
            <v>无</v>
          </cell>
          <cell r="F246" t="str">
            <v>特别困难</v>
          </cell>
        </row>
        <row r="247">
          <cell r="A247">
            <v>22408000515</v>
          </cell>
          <cell r="B247" t="str">
            <v>李海鑫</v>
          </cell>
          <cell r="C247" t="str">
            <v>网络工程2201</v>
          </cell>
          <cell r="D247">
            <v>0</v>
          </cell>
          <cell r="E247" t="str">
            <v>无</v>
          </cell>
          <cell r="F247" t="str">
            <v>无</v>
          </cell>
        </row>
        <row r="248">
          <cell r="A248">
            <v>22408000518</v>
          </cell>
          <cell r="B248" t="str">
            <v>令狐金涛</v>
          </cell>
          <cell r="C248" t="str">
            <v>网络工程2201</v>
          </cell>
          <cell r="D248">
            <v>0</v>
          </cell>
          <cell r="E248" t="str">
            <v>无</v>
          </cell>
          <cell r="F248" t="str">
            <v>无</v>
          </cell>
        </row>
        <row r="249">
          <cell r="A249">
            <v>22408000520</v>
          </cell>
          <cell r="B249" t="str">
            <v>罗礼涛</v>
          </cell>
          <cell r="C249" t="str">
            <v>网络工程2201</v>
          </cell>
          <cell r="D249">
            <v>0</v>
          </cell>
          <cell r="E249" t="str">
            <v>无</v>
          </cell>
          <cell r="F249" t="str">
            <v>特别困难</v>
          </cell>
        </row>
        <row r="250">
          <cell r="A250">
            <v>22408000522</v>
          </cell>
          <cell r="B250" t="str">
            <v>苗娜</v>
          </cell>
          <cell r="C250" t="str">
            <v>网络工程2201</v>
          </cell>
          <cell r="D250">
            <v>0</v>
          </cell>
          <cell r="E250" t="str">
            <v>无</v>
          </cell>
          <cell r="F250" t="str">
            <v>困难</v>
          </cell>
        </row>
        <row r="251">
          <cell r="A251">
            <v>22408000530</v>
          </cell>
          <cell r="B251" t="str">
            <v>王皓然</v>
          </cell>
          <cell r="C251" t="str">
            <v>网络工程2201</v>
          </cell>
          <cell r="D251">
            <v>0</v>
          </cell>
          <cell r="E251" t="str">
            <v>无</v>
          </cell>
          <cell r="F251" t="str">
            <v>困难</v>
          </cell>
        </row>
        <row r="252">
          <cell r="A252">
            <v>22408000531</v>
          </cell>
          <cell r="B252" t="str">
            <v>王林琛</v>
          </cell>
          <cell r="C252" t="str">
            <v>网络工程2201</v>
          </cell>
          <cell r="D252">
            <v>0</v>
          </cell>
          <cell r="E252" t="str">
            <v>无</v>
          </cell>
          <cell r="F252" t="str">
            <v>无</v>
          </cell>
        </row>
        <row r="253">
          <cell r="A253">
            <v>22408000543</v>
          </cell>
          <cell r="B253" t="str">
            <v>左健</v>
          </cell>
          <cell r="C253" t="str">
            <v>网络工程2201</v>
          </cell>
          <cell r="D253">
            <v>0</v>
          </cell>
          <cell r="E253" t="str">
            <v>无</v>
          </cell>
          <cell r="F253" t="str">
            <v>无</v>
          </cell>
        </row>
        <row r="254">
          <cell r="A254">
            <v>22408000601</v>
          </cell>
          <cell r="B254" t="str">
            <v>阿布都拉·阿布都克力木</v>
          </cell>
          <cell r="C254" t="str">
            <v>网络工程2202</v>
          </cell>
          <cell r="D254">
            <v>0</v>
          </cell>
          <cell r="E254" t="str">
            <v>无</v>
          </cell>
          <cell r="F254" t="str">
            <v>无</v>
          </cell>
        </row>
        <row r="255">
          <cell r="A255">
            <v>22408000603</v>
          </cell>
          <cell r="B255" t="str">
            <v>陈铭健</v>
          </cell>
          <cell r="C255" t="str">
            <v>网络工程2202</v>
          </cell>
          <cell r="D255">
            <v>2</v>
          </cell>
          <cell r="E255" t="str">
            <v>Web系统开发,网络协议分析</v>
          </cell>
          <cell r="F255" t="str">
            <v>无</v>
          </cell>
        </row>
        <row r="256">
          <cell r="A256">
            <v>22408000605</v>
          </cell>
          <cell r="B256" t="str">
            <v>戴丽慧</v>
          </cell>
          <cell r="C256" t="str">
            <v>网络工程2202</v>
          </cell>
          <cell r="D256">
            <v>0</v>
          </cell>
          <cell r="E256" t="str">
            <v>无</v>
          </cell>
          <cell r="F256" t="str">
            <v>无</v>
          </cell>
        </row>
        <row r="257">
          <cell r="A257">
            <v>22408000610</v>
          </cell>
          <cell r="B257" t="str">
            <v>胡效兴</v>
          </cell>
          <cell r="C257" t="str">
            <v>网络工程2202</v>
          </cell>
          <cell r="D257">
            <v>0</v>
          </cell>
          <cell r="E257" t="str">
            <v>无</v>
          </cell>
          <cell r="F257" t="str">
            <v>无</v>
          </cell>
        </row>
        <row r="258">
          <cell r="A258">
            <v>22408000612</v>
          </cell>
          <cell r="B258" t="str">
            <v>黄瑞东</v>
          </cell>
          <cell r="C258" t="str">
            <v>网络工程2202</v>
          </cell>
          <cell r="D258">
            <v>0</v>
          </cell>
          <cell r="E258" t="str">
            <v>无</v>
          </cell>
          <cell r="F258" t="str">
            <v>无</v>
          </cell>
        </row>
        <row r="259">
          <cell r="A259">
            <v>22408000614</v>
          </cell>
          <cell r="B259" t="str">
            <v>蒋涛</v>
          </cell>
          <cell r="C259" t="str">
            <v>网络工程2202</v>
          </cell>
          <cell r="D259">
            <v>0</v>
          </cell>
          <cell r="E259" t="str">
            <v>无</v>
          </cell>
          <cell r="F259" t="str">
            <v>无</v>
          </cell>
        </row>
        <row r="260">
          <cell r="A260">
            <v>22408000619</v>
          </cell>
          <cell r="B260" t="str">
            <v>刘寻</v>
          </cell>
          <cell r="C260" t="str">
            <v>网络工程2202</v>
          </cell>
          <cell r="D260">
            <v>0</v>
          </cell>
          <cell r="E260" t="str">
            <v>无</v>
          </cell>
          <cell r="F260" t="str">
            <v>无</v>
          </cell>
        </row>
        <row r="261">
          <cell r="A261">
            <v>22408000621</v>
          </cell>
          <cell r="B261" t="str">
            <v>罗林</v>
          </cell>
          <cell r="C261" t="str">
            <v>网络工程2202</v>
          </cell>
          <cell r="D261">
            <v>0</v>
          </cell>
          <cell r="E261" t="str">
            <v>无</v>
          </cell>
          <cell r="F261" t="str">
            <v>无</v>
          </cell>
        </row>
        <row r="262">
          <cell r="A262">
            <v>22408000622</v>
          </cell>
          <cell r="B262" t="str">
            <v>纳浩鑫</v>
          </cell>
          <cell r="C262" t="str">
            <v>网络工程2202</v>
          </cell>
          <cell r="D262">
            <v>0</v>
          </cell>
          <cell r="E262" t="str">
            <v>无</v>
          </cell>
          <cell r="F262" t="str">
            <v>无</v>
          </cell>
        </row>
        <row r="263">
          <cell r="A263">
            <v>22408000641</v>
          </cell>
          <cell r="B263" t="str">
            <v>者国莉</v>
          </cell>
          <cell r="C263" t="str">
            <v>网络工程2202</v>
          </cell>
          <cell r="D263">
            <v>0</v>
          </cell>
          <cell r="E263" t="str">
            <v>无</v>
          </cell>
          <cell r="F263" t="str">
            <v>无</v>
          </cell>
        </row>
        <row r="264">
          <cell r="A264">
            <v>22408000703</v>
          </cell>
          <cell r="B264" t="str">
            <v>邓杰军</v>
          </cell>
          <cell r="C264" t="str">
            <v>网络工程2202</v>
          </cell>
          <cell r="D264">
            <v>0</v>
          </cell>
          <cell r="E264" t="str">
            <v>无</v>
          </cell>
          <cell r="F264" t="str">
            <v>特别困难</v>
          </cell>
        </row>
        <row r="265">
          <cell r="A265">
            <v>22408000704</v>
          </cell>
          <cell r="B265" t="str">
            <v>丁利红</v>
          </cell>
          <cell r="C265" t="str">
            <v>网络工程2202</v>
          </cell>
          <cell r="D265">
            <v>0</v>
          </cell>
          <cell r="E265" t="str">
            <v>无</v>
          </cell>
          <cell r="F265" t="str">
            <v>无</v>
          </cell>
        </row>
        <row r="266">
          <cell r="A266">
            <v>22408000706</v>
          </cell>
          <cell r="B266" t="str">
            <v>封鹏飞</v>
          </cell>
          <cell r="C266" t="str">
            <v>网络工程2202</v>
          </cell>
          <cell r="D266">
            <v>0</v>
          </cell>
          <cell r="E266" t="str">
            <v>无</v>
          </cell>
          <cell r="F266" t="str">
            <v>无</v>
          </cell>
        </row>
        <row r="267">
          <cell r="A267">
            <v>22408000709</v>
          </cell>
          <cell r="B267" t="str">
            <v>胡炎岩</v>
          </cell>
          <cell r="C267" t="str">
            <v>网络工程2202</v>
          </cell>
          <cell r="D267">
            <v>0</v>
          </cell>
          <cell r="E267" t="str">
            <v>无</v>
          </cell>
          <cell r="F267" t="str">
            <v>无</v>
          </cell>
        </row>
        <row r="268">
          <cell r="A268">
            <v>22408000712</v>
          </cell>
          <cell r="B268" t="str">
            <v>贾琦辉</v>
          </cell>
          <cell r="C268" t="str">
            <v>网络工程2202</v>
          </cell>
          <cell r="D268">
            <v>0</v>
          </cell>
          <cell r="E268" t="str">
            <v>无</v>
          </cell>
          <cell r="F268" t="str">
            <v>无</v>
          </cell>
        </row>
        <row r="269">
          <cell r="A269">
            <v>22408000713</v>
          </cell>
          <cell r="B269" t="str">
            <v>金聪</v>
          </cell>
          <cell r="C269" t="str">
            <v>网络工程2202</v>
          </cell>
          <cell r="D269">
            <v>0</v>
          </cell>
          <cell r="E269" t="str">
            <v>无</v>
          </cell>
          <cell r="F269" t="str">
            <v>无</v>
          </cell>
        </row>
        <row r="270">
          <cell r="A270">
            <v>22408000715</v>
          </cell>
          <cell r="B270" t="str">
            <v>李书剑</v>
          </cell>
          <cell r="C270" t="str">
            <v>网络工程2202</v>
          </cell>
          <cell r="D270">
            <v>0</v>
          </cell>
          <cell r="E270" t="str">
            <v>无</v>
          </cell>
          <cell r="F270" t="str">
            <v>无</v>
          </cell>
        </row>
        <row r="271">
          <cell r="A271">
            <v>22408000718</v>
          </cell>
          <cell r="B271" t="str">
            <v>刘浩然</v>
          </cell>
          <cell r="C271" t="str">
            <v>网络工程2202</v>
          </cell>
          <cell r="D271">
            <v>0</v>
          </cell>
          <cell r="E271" t="str">
            <v>无</v>
          </cell>
          <cell r="F271" t="str">
            <v>无</v>
          </cell>
        </row>
        <row r="272">
          <cell r="A272">
            <v>22408000722</v>
          </cell>
          <cell r="B272" t="str">
            <v>刘昀</v>
          </cell>
          <cell r="C272" t="str">
            <v>网络工程2202</v>
          </cell>
          <cell r="D272">
            <v>0</v>
          </cell>
          <cell r="E272" t="str">
            <v>无</v>
          </cell>
          <cell r="F272" t="str">
            <v>无</v>
          </cell>
        </row>
        <row r="273">
          <cell r="A273">
            <v>22408000723</v>
          </cell>
          <cell r="B273" t="str">
            <v>卢哲</v>
          </cell>
          <cell r="C273" t="str">
            <v>网络工程2202</v>
          </cell>
          <cell r="D273">
            <v>0</v>
          </cell>
          <cell r="E273" t="str">
            <v>无</v>
          </cell>
          <cell r="F273" t="str">
            <v>困难</v>
          </cell>
        </row>
        <row r="274">
          <cell r="A274">
            <v>22408000801</v>
          </cell>
          <cell r="B274" t="str">
            <v>曹淋</v>
          </cell>
          <cell r="C274" t="str">
            <v>网络工程2202</v>
          </cell>
          <cell r="D274">
            <v>0</v>
          </cell>
          <cell r="E274" t="str">
            <v>无</v>
          </cell>
          <cell r="F274" t="str">
            <v>无</v>
          </cell>
        </row>
        <row r="275">
          <cell r="A275">
            <v>22408000807</v>
          </cell>
          <cell r="B275" t="str">
            <v>樊周怡</v>
          </cell>
          <cell r="C275" t="str">
            <v>网络工程2202</v>
          </cell>
          <cell r="D275">
            <v>0</v>
          </cell>
          <cell r="E275" t="str">
            <v>无</v>
          </cell>
          <cell r="F275" t="str">
            <v>无</v>
          </cell>
        </row>
        <row r="276">
          <cell r="A276">
            <v>22408000811</v>
          </cell>
          <cell r="B276" t="str">
            <v>胡毅程</v>
          </cell>
          <cell r="C276" t="str">
            <v>网络工程2202</v>
          </cell>
          <cell r="D276">
            <v>0</v>
          </cell>
          <cell r="E276" t="str">
            <v>无</v>
          </cell>
          <cell r="F276" t="str">
            <v>无</v>
          </cell>
        </row>
        <row r="277">
          <cell r="A277">
            <v>22408000812</v>
          </cell>
          <cell r="B277" t="str">
            <v>黄宇韬</v>
          </cell>
          <cell r="C277" t="str">
            <v>网络工程2202</v>
          </cell>
          <cell r="D277">
            <v>0</v>
          </cell>
          <cell r="E277" t="str">
            <v>无</v>
          </cell>
          <cell r="F277" t="str">
            <v>一般困难</v>
          </cell>
        </row>
        <row r="278">
          <cell r="A278">
            <v>22408000814</v>
          </cell>
          <cell r="B278" t="str">
            <v>孔世杰</v>
          </cell>
          <cell r="C278" t="str">
            <v>网络工程2202</v>
          </cell>
          <cell r="D278">
            <v>2</v>
          </cell>
          <cell r="E278" t="str">
            <v>Web系统开发课程设计,面向过程程序设计(C语言)课程设计</v>
          </cell>
          <cell r="F278" t="str">
            <v>无</v>
          </cell>
        </row>
        <row r="279">
          <cell r="A279">
            <v>22408000829</v>
          </cell>
          <cell r="B279" t="str">
            <v>任瑞婷</v>
          </cell>
          <cell r="C279" t="str">
            <v>网络工程2202</v>
          </cell>
          <cell r="D279">
            <v>0</v>
          </cell>
          <cell r="E279" t="str">
            <v>无</v>
          </cell>
          <cell r="F279" t="str">
            <v>无</v>
          </cell>
        </row>
        <row r="280">
          <cell r="A280">
            <v>22408000830</v>
          </cell>
          <cell r="B280" t="str">
            <v>苏宇峰</v>
          </cell>
          <cell r="C280" t="str">
            <v>网络工程2202</v>
          </cell>
          <cell r="D280">
            <v>0</v>
          </cell>
          <cell r="E280" t="str">
            <v>无</v>
          </cell>
          <cell r="F280" t="str">
            <v>无</v>
          </cell>
        </row>
        <row r="281">
          <cell r="A281">
            <v>22408000831</v>
          </cell>
          <cell r="B281" t="str">
            <v>唐俊豪</v>
          </cell>
          <cell r="C281" t="str">
            <v>网络工程2202</v>
          </cell>
          <cell r="D281">
            <v>0</v>
          </cell>
          <cell r="E281" t="str">
            <v>无</v>
          </cell>
          <cell r="F281" t="str">
            <v>困难</v>
          </cell>
        </row>
        <row r="282">
          <cell r="A282">
            <v>22408000835</v>
          </cell>
          <cell r="B282" t="str">
            <v>王忠飞</v>
          </cell>
          <cell r="C282" t="str">
            <v>网络工程2202</v>
          </cell>
          <cell r="D282">
            <v>0</v>
          </cell>
          <cell r="E282" t="str">
            <v>无</v>
          </cell>
          <cell r="F282" t="str">
            <v>无</v>
          </cell>
        </row>
        <row r="283">
          <cell r="A283">
            <v>22408000839</v>
          </cell>
          <cell r="B283" t="str">
            <v>张裕丰</v>
          </cell>
          <cell r="C283" t="str">
            <v>网络工程2202</v>
          </cell>
          <cell r="D283">
            <v>0</v>
          </cell>
          <cell r="E283" t="str">
            <v>无</v>
          </cell>
          <cell r="F283" t="str">
            <v>无</v>
          </cell>
        </row>
        <row r="284">
          <cell r="A284">
            <v>22408000901</v>
          </cell>
          <cell r="B284" t="str">
            <v>陈冠杰</v>
          </cell>
          <cell r="C284" t="str">
            <v>网络工程2201</v>
          </cell>
          <cell r="D284">
            <v>0</v>
          </cell>
          <cell r="E284" t="str">
            <v>无</v>
          </cell>
          <cell r="F284" t="str">
            <v>无</v>
          </cell>
        </row>
        <row r="285">
          <cell r="A285">
            <v>22408000902</v>
          </cell>
          <cell r="B285" t="str">
            <v>陈嘉慧</v>
          </cell>
          <cell r="C285" t="str">
            <v>网络工程2201</v>
          </cell>
          <cell r="D285">
            <v>3</v>
          </cell>
          <cell r="E285" t="str">
            <v>Linux网络应用综合实践,网络编程课程设计,面向过程程序设计(C语言)</v>
          </cell>
          <cell r="F285" t="str">
            <v>无</v>
          </cell>
        </row>
        <row r="286">
          <cell r="A286">
            <v>22408000903</v>
          </cell>
          <cell r="B286" t="str">
            <v>陈利明</v>
          </cell>
          <cell r="C286" t="str">
            <v>网络工程2201</v>
          </cell>
          <cell r="D286">
            <v>0</v>
          </cell>
          <cell r="E286" t="str">
            <v>无</v>
          </cell>
          <cell r="F286" t="str">
            <v>无</v>
          </cell>
        </row>
        <row r="287">
          <cell r="A287">
            <v>22408000905</v>
          </cell>
          <cell r="B287" t="str">
            <v>邓志伟</v>
          </cell>
          <cell r="C287" t="str">
            <v>网络工程2201</v>
          </cell>
          <cell r="D287">
            <v>0</v>
          </cell>
          <cell r="E287" t="str">
            <v>无</v>
          </cell>
          <cell r="F287" t="str">
            <v>特别困难</v>
          </cell>
        </row>
        <row r="288">
          <cell r="A288">
            <v>22408000918</v>
          </cell>
          <cell r="B288" t="str">
            <v>刘思瑶</v>
          </cell>
          <cell r="C288" t="str">
            <v>网络工程2201</v>
          </cell>
          <cell r="D288">
            <v>0</v>
          </cell>
          <cell r="E288" t="str">
            <v>无</v>
          </cell>
          <cell r="F288" t="str">
            <v>困难</v>
          </cell>
        </row>
        <row r="289">
          <cell r="A289">
            <v>22408000920</v>
          </cell>
          <cell r="B289" t="str">
            <v>马晓轩</v>
          </cell>
          <cell r="C289" t="str">
            <v>网络工程2201</v>
          </cell>
          <cell r="D289">
            <v>0</v>
          </cell>
          <cell r="E289" t="str">
            <v>无</v>
          </cell>
          <cell r="F289" t="str">
            <v>一般困难</v>
          </cell>
        </row>
        <row r="290">
          <cell r="A290">
            <v>22408000938</v>
          </cell>
          <cell r="B290" t="str">
            <v>郑晨曦</v>
          </cell>
          <cell r="C290" t="str">
            <v>网络工程2201</v>
          </cell>
          <cell r="D290">
            <v>0</v>
          </cell>
          <cell r="E290" t="str">
            <v>无</v>
          </cell>
          <cell r="F290" t="str">
            <v>无</v>
          </cell>
        </row>
        <row r="291">
          <cell r="A291">
            <v>22408000939</v>
          </cell>
          <cell r="B291" t="str">
            <v>周光耀</v>
          </cell>
          <cell r="C291" t="str">
            <v>网络工程2201</v>
          </cell>
          <cell r="D291">
            <v>0</v>
          </cell>
          <cell r="E291" t="str">
            <v>无</v>
          </cell>
          <cell r="F291" t="str">
            <v>无</v>
          </cell>
        </row>
        <row r="292">
          <cell r="A292">
            <v>22408000940</v>
          </cell>
          <cell r="B292" t="str">
            <v>周俊羽</v>
          </cell>
          <cell r="C292" t="str">
            <v>网络工程2201</v>
          </cell>
          <cell r="D292">
            <v>0</v>
          </cell>
          <cell r="E292" t="str">
            <v>无</v>
          </cell>
          <cell r="F292" t="str">
            <v>困难</v>
          </cell>
        </row>
        <row r="293">
          <cell r="A293">
            <v>22408000941</v>
          </cell>
          <cell r="B293" t="str">
            <v>周翔</v>
          </cell>
          <cell r="C293" t="str">
            <v>网络工程2201</v>
          </cell>
          <cell r="D293">
            <v>0</v>
          </cell>
          <cell r="E293" t="str">
            <v>无</v>
          </cell>
          <cell r="F293" t="str">
            <v>无</v>
          </cell>
        </row>
        <row r="294">
          <cell r="A294">
            <v>22414700124</v>
          </cell>
          <cell r="B294" t="str">
            <v>王洋</v>
          </cell>
          <cell r="C294" t="str">
            <v>网络工程2202</v>
          </cell>
          <cell r="D294">
            <v>0</v>
          </cell>
          <cell r="E294" t="str">
            <v>无</v>
          </cell>
          <cell r="F294" t="str">
            <v>无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98"/>
  <sheetViews>
    <sheetView tabSelected="1" zoomScale="85" zoomScaleNormal="85" workbookViewId="0">
      <selection activeCell="G10" sqref="G10"/>
    </sheetView>
  </sheetViews>
  <sheetFormatPr defaultColWidth="9" defaultRowHeight="13.5"/>
  <cols>
    <col min="1" max="1" width="7.375" style="2" customWidth="1"/>
    <col min="2" max="2" width="12.625" style="6" customWidth="1"/>
    <col min="3" max="3" width="16.25" style="7" customWidth="1"/>
    <col min="4" max="4" width="13.1083333333333" style="7" customWidth="1"/>
    <col min="5" max="5" width="21.225" style="6" customWidth="1"/>
    <col min="6" max="6" width="14.75" style="7" customWidth="1"/>
    <col min="7" max="7" width="14.8833333333333" style="6" customWidth="1"/>
    <col min="8" max="8" width="15.25" style="6" customWidth="1"/>
    <col min="9" max="9" width="9.45" style="7" customWidth="1"/>
    <col min="10" max="10" width="12" style="6" customWidth="1"/>
    <col min="11" max="11" width="13.3833333333333" style="8" customWidth="1"/>
    <col min="12" max="14" width="9" style="7"/>
    <col min="15" max="18" width="9" style="6"/>
    <col min="19" max="19" width="52.6333333333333" style="6" customWidth="1"/>
    <col min="20" max="20" width="9" style="6"/>
    <col min="21" max="21" width="20.775" style="6" customWidth="1"/>
    <col min="22" max="24" width="9" style="6"/>
    <col min="25" max="25" width="15.3833333333333" style="6" customWidth="1"/>
    <col min="26" max="26" width="21.1333333333333" style="6" customWidth="1"/>
    <col min="27" max="27" width="17.1333333333333" style="6" customWidth="1"/>
    <col min="28" max="28" width="9" style="6"/>
    <col min="29" max="29" width="11.25" style="6" customWidth="1"/>
    <col min="30" max="30" width="18" style="6" customWidth="1"/>
    <col min="31" max="31" width="17.25" style="6" customWidth="1"/>
    <col min="32" max="32" width="10.3833333333333" style="6" customWidth="1"/>
    <col min="33" max="33" width="17.6416666666667" style="6" customWidth="1"/>
    <col min="34" max="34" width="13.525" style="7" customWidth="1"/>
    <col min="35" max="35" width="31.6166666666667" style="7" customWidth="1"/>
    <col min="36" max="16384" width="9" style="2"/>
  </cols>
  <sheetData>
    <row r="1" s="1" customFormat="1" ht="15.75" spans="1:36">
      <c r="A1" s="1" t="s">
        <v>0</v>
      </c>
      <c r="B1" s="9" t="s">
        <v>1</v>
      </c>
      <c r="C1" s="10" t="s">
        <v>2</v>
      </c>
      <c r="D1" s="10" t="s">
        <v>3</v>
      </c>
      <c r="E1" s="9" t="s">
        <v>4</v>
      </c>
      <c r="F1" s="10" t="s">
        <v>5</v>
      </c>
      <c r="G1" s="9" t="s">
        <v>6</v>
      </c>
      <c r="H1" s="9" t="s">
        <v>7</v>
      </c>
      <c r="I1" s="10" t="s">
        <v>8</v>
      </c>
      <c r="J1" s="9" t="s">
        <v>1</v>
      </c>
      <c r="K1" s="9" t="s">
        <v>9</v>
      </c>
      <c r="L1" s="10" t="s">
        <v>10</v>
      </c>
      <c r="M1" s="10" t="s">
        <v>11</v>
      </c>
      <c r="N1" s="10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8</v>
      </c>
      <c r="W1" s="9" t="s">
        <v>14</v>
      </c>
      <c r="X1" s="9" t="s">
        <v>20</v>
      </c>
      <c r="Y1" s="9" t="s">
        <v>21</v>
      </c>
      <c r="Z1" s="9" t="s">
        <v>22</v>
      </c>
      <c r="AA1" s="9" t="s">
        <v>23</v>
      </c>
      <c r="AB1" s="9" t="s">
        <v>24</v>
      </c>
      <c r="AC1" s="9" t="s">
        <v>25</v>
      </c>
      <c r="AD1" s="9" t="s">
        <v>26</v>
      </c>
      <c r="AE1" s="9" t="s">
        <v>27</v>
      </c>
      <c r="AF1" s="9" t="s">
        <v>28</v>
      </c>
      <c r="AG1" s="9" t="s">
        <v>29</v>
      </c>
      <c r="AH1" s="10" t="s">
        <v>30</v>
      </c>
      <c r="AI1" s="10" t="s">
        <v>31</v>
      </c>
      <c r="AJ1" s="10" t="s">
        <v>32</v>
      </c>
    </row>
    <row r="2" s="2" customFormat="1" ht="14.25" spans="1:36">
      <c r="A2" s="11">
        <v>1</v>
      </c>
      <c r="B2" s="12">
        <v>22408000303</v>
      </c>
      <c r="C2" s="13" t="s">
        <v>33</v>
      </c>
      <c r="D2" s="14" t="s">
        <v>34</v>
      </c>
      <c r="E2" s="41" t="s">
        <v>35</v>
      </c>
      <c r="F2" s="14">
        <v>18773569489</v>
      </c>
      <c r="G2" s="15">
        <v>18528213709</v>
      </c>
      <c r="H2" s="15">
        <v>15115573379</v>
      </c>
      <c r="I2" s="14" t="s">
        <v>36</v>
      </c>
      <c r="J2" s="15">
        <v>2022080003</v>
      </c>
      <c r="K2" s="16" t="s">
        <v>37</v>
      </c>
      <c r="L2" s="14" t="s">
        <v>38</v>
      </c>
      <c r="M2" s="14" t="s">
        <v>39</v>
      </c>
      <c r="N2" s="14" t="s">
        <v>40</v>
      </c>
      <c r="O2" s="15">
        <v>2022</v>
      </c>
      <c r="P2" s="15" t="s">
        <v>41</v>
      </c>
      <c r="Q2" s="15" t="s">
        <v>42</v>
      </c>
      <c r="R2" s="15" t="s">
        <v>43</v>
      </c>
      <c r="S2" s="15" t="s">
        <v>44</v>
      </c>
      <c r="T2" s="15">
        <v>523501</v>
      </c>
      <c r="U2" s="15" t="s">
        <v>45</v>
      </c>
      <c r="V2" s="15" t="s">
        <v>36</v>
      </c>
      <c r="W2" s="15" t="s">
        <v>46</v>
      </c>
      <c r="X2" s="15" t="s">
        <v>47</v>
      </c>
      <c r="Y2" s="15" t="s">
        <v>48</v>
      </c>
      <c r="Z2" s="15" t="s">
        <v>49</v>
      </c>
      <c r="AA2" s="15" t="s">
        <v>50</v>
      </c>
      <c r="AB2" s="15" t="s">
        <v>51</v>
      </c>
      <c r="AC2" s="15" t="s">
        <v>52</v>
      </c>
      <c r="AD2" s="15" t="s">
        <v>53</v>
      </c>
      <c r="AE2" s="15" t="s">
        <v>54</v>
      </c>
      <c r="AF2" s="15" t="s">
        <v>55</v>
      </c>
      <c r="AG2" s="14"/>
      <c r="AH2" s="14" t="str">
        <f>VLOOKUP(B2,[1]Sheet1!$A$2:$F$294,6,FALSE)</f>
        <v>困难</v>
      </c>
      <c r="AI2" s="14">
        <f>VLOOKUP(B2,[1]Sheet1!$A$2:$F$294,4,FALSE)</f>
        <v>0</v>
      </c>
      <c r="AJ2" s="14" t="str">
        <f>VLOOKUP(B2,[1]Sheet1!$A$2:$F$294,5,FALSE)</f>
        <v>无</v>
      </c>
    </row>
    <row r="3" s="2" customFormat="1" ht="14.25" spans="1:36">
      <c r="A3" s="11">
        <v>2</v>
      </c>
      <c r="B3" s="12">
        <v>22408000310</v>
      </c>
      <c r="C3" s="13" t="s">
        <v>56</v>
      </c>
      <c r="D3" s="14" t="s">
        <v>34</v>
      </c>
      <c r="E3" s="41" t="s">
        <v>57</v>
      </c>
      <c r="F3" s="14">
        <v>17703222985</v>
      </c>
      <c r="G3" s="15">
        <v>13472278177</v>
      </c>
      <c r="H3" s="15">
        <v>18332830633</v>
      </c>
      <c r="I3" s="14" t="s">
        <v>58</v>
      </c>
      <c r="J3" s="15">
        <v>2022080003</v>
      </c>
      <c r="K3" s="16" t="s">
        <v>37</v>
      </c>
      <c r="L3" s="14" t="s">
        <v>59</v>
      </c>
      <c r="M3" s="14" t="s">
        <v>60</v>
      </c>
      <c r="N3" s="14" t="s">
        <v>61</v>
      </c>
      <c r="O3" s="15">
        <v>2022</v>
      </c>
      <c r="P3" s="15" t="s">
        <v>41</v>
      </c>
      <c r="Q3" s="15" t="s">
        <v>62</v>
      </c>
      <c r="R3" s="15" t="s">
        <v>63</v>
      </c>
      <c r="S3" s="15" t="s">
        <v>64</v>
      </c>
      <c r="T3" s="15">
        <v>71100</v>
      </c>
      <c r="U3" s="15" t="s">
        <v>65</v>
      </c>
      <c r="V3" s="15" t="s">
        <v>58</v>
      </c>
      <c r="W3" s="15" t="s">
        <v>46</v>
      </c>
      <c r="X3" s="15" t="s">
        <v>47</v>
      </c>
      <c r="Y3" s="15" t="s">
        <v>66</v>
      </c>
      <c r="Z3" s="15" t="s">
        <v>49</v>
      </c>
      <c r="AA3" s="15" t="s">
        <v>50</v>
      </c>
      <c r="AB3" s="15" t="s">
        <v>67</v>
      </c>
      <c r="AC3" s="15" t="s">
        <v>52</v>
      </c>
      <c r="AD3" s="15" t="s">
        <v>53</v>
      </c>
      <c r="AE3" s="15" t="s">
        <v>54</v>
      </c>
      <c r="AF3" s="15" t="s">
        <v>55</v>
      </c>
      <c r="AG3" s="14"/>
      <c r="AH3" s="14" t="str">
        <f>VLOOKUP(B3,[1]Sheet1!$A$2:$F$294,6,FALSE)</f>
        <v>无</v>
      </c>
      <c r="AI3" s="14">
        <f>VLOOKUP(B3,[1]Sheet1!$A$2:$F$294,4,FALSE)</f>
        <v>0</v>
      </c>
      <c r="AJ3" s="14" t="str">
        <f>VLOOKUP(B3,[1]Sheet1!$A$2:$F$294,5,FALSE)</f>
        <v>无</v>
      </c>
    </row>
    <row r="4" s="2" customFormat="1" ht="14.25" spans="1:36">
      <c r="A4" s="11">
        <v>3</v>
      </c>
      <c r="B4" s="12">
        <v>22408000311</v>
      </c>
      <c r="C4" s="13" t="s">
        <v>68</v>
      </c>
      <c r="D4" s="14" t="s">
        <v>34</v>
      </c>
      <c r="E4" s="41" t="s">
        <v>69</v>
      </c>
      <c r="F4" s="14">
        <v>13996457518</v>
      </c>
      <c r="G4" s="15">
        <v>13509476152</v>
      </c>
      <c r="H4" s="15">
        <v>15178852431</v>
      </c>
      <c r="I4" s="14" t="s">
        <v>58</v>
      </c>
      <c r="J4" s="15">
        <v>2022080003</v>
      </c>
      <c r="K4" s="16" t="s">
        <v>37</v>
      </c>
      <c r="L4" s="14" t="s">
        <v>59</v>
      </c>
      <c r="M4" s="14" t="s">
        <v>60</v>
      </c>
      <c r="N4" s="14" t="s">
        <v>70</v>
      </c>
      <c r="O4" s="15">
        <v>2022</v>
      </c>
      <c r="P4" s="15" t="s">
        <v>41</v>
      </c>
      <c r="Q4" s="15" t="s">
        <v>71</v>
      </c>
      <c r="R4" s="15" t="s">
        <v>63</v>
      </c>
      <c r="S4" s="15" t="s">
        <v>72</v>
      </c>
      <c r="T4" s="15">
        <v>400039</v>
      </c>
      <c r="U4" s="15" t="s">
        <v>73</v>
      </c>
      <c r="V4" s="15" t="s">
        <v>58</v>
      </c>
      <c r="W4" s="15" t="s">
        <v>46</v>
      </c>
      <c r="X4" s="15" t="s">
        <v>74</v>
      </c>
      <c r="Y4" s="15" t="s">
        <v>47</v>
      </c>
      <c r="Z4" s="15" t="s">
        <v>75</v>
      </c>
      <c r="AA4" s="15" t="s">
        <v>50</v>
      </c>
      <c r="AB4" s="15" t="s">
        <v>67</v>
      </c>
      <c r="AC4" s="15" t="s">
        <v>52</v>
      </c>
      <c r="AD4" s="15" t="s">
        <v>53</v>
      </c>
      <c r="AE4" s="15" t="s">
        <v>54</v>
      </c>
      <c r="AF4" s="15" t="s">
        <v>55</v>
      </c>
      <c r="AG4" s="14"/>
      <c r="AH4" s="14" t="str">
        <f>VLOOKUP(B4,[1]Sheet1!$A$2:$F$294,6,FALSE)</f>
        <v>无</v>
      </c>
      <c r="AI4" s="14">
        <f>VLOOKUP(B4,[1]Sheet1!$A$2:$F$294,4,FALSE)</f>
        <v>0</v>
      </c>
      <c r="AJ4" s="14" t="str">
        <f>VLOOKUP(B4,[1]Sheet1!$A$2:$F$294,5,FALSE)</f>
        <v>无</v>
      </c>
    </row>
    <row r="5" s="2" customFormat="1" ht="14.25" spans="1:36">
      <c r="A5" s="11">
        <v>4</v>
      </c>
      <c r="B5" s="12">
        <v>22408000318</v>
      </c>
      <c r="C5" s="13" t="s">
        <v>76</v>
      </c>
      <c r="D5" s="14" t="s">
        <v>34</v>
      </c>
      <c r="E5" s="41" t="s">
        <v>77</v>
      </c>
      <c r="F5" s="14">
        <v>18350153280</v>
      </c>
      <c r="G5" s="15" t="s">
        <v>78</v>
      </c>
      <c r="H5" s="15">
        <v>13306910628</v>
      </c>
      <c r="I5" s="14" t="s">
        <v>58</v>
      </c>
      <c r="J5" s="15">
        <v>2022080003</v>
      </c>
      <c r="K5" s="16" t="s">
        <v>37</v>
      </c>
      <c r="L5" s="14" t="s">
        <v>59</v>
      </c>
      <c r="M5" s="14" t="s">
        <v>60</v>
      </c>
      <c r="N5" s="14" t="s">
        <v>79</v>
      </c>
      <c r="O5" s="15">
        <v>2022</v>
      </c>
      <c r="P5" s="15" t="s">
        <v>41</v>
      </c>
      <c r="Q5" s="15" t="s">
        <v>80</v>
      </c>
      <c r="R5" s="15" t="s">
        <v>63</v>
      </c>
      <c r="S5" s="15" t="s">
        <v>81</v>
      </c>
      <c r="T5" s="15">
        <v>350300</v>
      </c>
      <c r="U5" s="15" t="s">
        <v>82</v>
      </c>
      <c r="V5" s="15" t="s">
        <v>58</v>
      </c>
      <c r="W5" s="15" t="s">
        <v>46</v>
      </c>
      <c r="X5" s="15" t="s">
        <v>74</v>
      </c>
      <c r="Y5" s="15" t="s">
        <v>48</v>
      </c>
      <c r="Z5" s="15" t="s">
        <v>49</v>
      </c>
      <c r="AA5" s="15" t="s">
        <v>50</v>
      </c>
      <c r="AB5" s="15" t="s">
        <v>51</v>
      </c>
      <c r="AC5" s="15" t="s">
        <v>52</v>
      </c>
      <c r="AD5" s="15" t="s">
        <v>53</v>
      </c>
      <c r="AE5" s="15" t="s">
        <v>54</v>
      </c>
      <c r="AF5" s="15" t="s">
        <v>55</v>
      </c>
      <c r="AG5" s="14"/>
      <c r="AH5" s="14" t="str">
        <f>VLOOKUP(B5,[1]Sheet1!$A$2:$F$294,6,FALSE)</f>
        <v>无</v>
      </c>
      <c r="AI5" s="14">
        <f>VLOOKUP(B5,[1]Sheet1!$A$2:$F$294,4,FALSE)</f>
        <v>0</v>
      </c>
      <c r="AJ5" s="14" t="str">
        <f>VLOOKUP(B5,[1]Sheet1!$A$2:$F$294,5,FALSE)</f>
        <v>无</v>
      </c>
    </row>
    <row r="6" s="2" customFormat="1" ht="14.25" spans="1:36">
      <c r="A6" s="11">
        <v>5</v>
      </c>
      <c r="B6" s="12">
        <v>22408000319</v>
      </c>
      <c r="C6" s="13" t="s">
        <v>83</v>
      </c>
      <c r="D6" s="14" t="s">
        <v>34</v>
      </c>
      <c r="E6" s="41" t="s">
        <v>84</v>
      </c>
      <c r="F6" s="14">
        <v>16689718970</v>
      </c>
      <c r="G6" s="15">
        <v>13976828085</v>
      </c>
      <c r="H6" s="15">
        <v>13307551358</v>
      </c>
      <c r="I6" s="14" t="s">
        <v>58</v>
      </c>
      <c r="J6" s="15">
        <v>2022080003</v>
      </c>
      <c r="K6" s="16" t="s">
        <v>37</v>
      </c>
      <c r="L6" s="14" t="s">
        <v>59</v>
      </c>
      <c r="M6" s="14" t="s">
        <v>60</v>
      </c>
      <c r="N6" s="14" t="s">
        <v>79</v>
      </c>
      <c r="O6" s="15">
        <v>2022</v>
      </c>
      <c r="P6" s="15" t="s">
        <v>41</v>
      </c>
      <c r="Q6" s="15" t="s">
        <v>85</v>
      </c>
      <c r="R6" s="15" t="s">
        <v>43</v>
      </c>
      <c r="S6" s="15" t="s">
        <v>86</v>
      </c>
      <c r="T6" s="15">
        <v>572000</v>
      </c>
      <c r="U6" s="15" t="s">
        <v>87</v>
      </c>
      <c r="V6" s="15" t="s">
        <v>58</v>
      </c>
      <c r="W6" s="15" t="s">
        <v>46</v>
      </c>
      <c r="X6" s="15" t="s">
        <v>74</v>
      </c>
      <c r="Y6" s="15" t="s">
        <v>88</v>
      </c>
      <c r="Z6" s="15" t="s">
        <v>75</v>
      </c>
      <c r="AA6" s="15" t="s">
        <v>50</v>
      </c>
      <c r="AB6" s="15" t="s">
        <v>67</v>
      </c>
      <c r="AC6" s="15" t="s">
        <v>52</v>
      </c>
      <c r="AD6" s="15" t="s">
        <v>53</v>
      </c>
      <c r="AE6" s="15" t="s">
        <v>54</v>
      </c>
      <c r="AF6" s="15" t="s">
        <v>55</v>
      </c>
      <c r="AG6" s="14"/>
      <c r="AH6" s="14" t="str">
        <f>VLOOKUP(B6,[1]Sheet1!$A$2:$F$294,6,FALSE)</f>
        <v>无</v>
      </c>
      <c r="AI6" s="14">
        <f>VLOOKUP(B6,[1]Sheet1!$A$2:$F$294,4,FALSE)</f>
        <v>1</v>
      </c>
      <c r="AJ6" s="14" t="str">
        <f>VLOOKUP(B6,[1]Sheet1!$A$2:$F$294,5,FALSE)</f>
        <v>软件工程</v>
      </c>
    </row>
    <row r="7" s="2" customFormat="1" ht="14.25" spans="1:36">
      <c r="A7" s="11">
        <v>6</v>
      </c>
      <c r="B7" s="12">
        <v>22408000322</v>
      </c>
      <c r="C7" s="13" t="s">
        <v>89</v>
      </c>
      <c r="D7" s="14" t="s">
        <v>34</v>
      </c>
      <c r="E7" s="41" t="s">
        <v>90</v>
      </c>
      <c r="F7" s="14">
        <v>15387575901</v>
      </c>
      <c r="G7" s="15">
        <v>13469155976</v>
      </c>
      <c r="H7" s="15">
        <v>15074279765</v>
      </c>
      <c r="I7" s="14" t="s">
        <v>36</v>
      </c>
      <c r="J7" s="15">
        <v>2022080003</v>
      </c>
      <c r="K7" s="16" t="s">
        <v>37</v>
      </c>
      <c r="L7" s="14" t="s">
        <v>38</v>
      </c>
      <c r="M7" s="14" t="s">
        <v>39</v>
      </c>
      <c r="N7" s="14" t="s">
        <v>91</v>
      </c>
      <c r="O7" s="15">
        <v>2022</v>
      </c>
      <c r="P7" s="15" t="s">
        <v>41</v>
      </c>
      <c r="Q7" s="15" t="s">
        <v>92</v>
      </c>
      <c r="R7" s="15" t="s">
        <v>63</v>
      </c>
      <c r="S7" s="15" t="s">
        <v>93</v>
      </c>
      <c r="T7" s="15">
        <v>415621</v>
      </c>
      <c r="U7" s="15" t="s">
        <v>45</v>
      </c>
      <c r="V7" s="15" t="s">
        <v>36</v>
      </c>
      <c r="W7" s="15" t="s">
        <v>46</v>
      </c>
      <c r="X7" s="15" t="s">
        <v>74</v>
      </c>
      <c r="Y7" s="15" t="s">
        <v>48</v>
      </c>
      <c r="Z7" s="15" t="s">
        <v>49</v>
      </c>
      <c r="AA7" s="15" t="s">
        <v>50</v>
      </c>
      <c r="AB7" s="15" t="s">
        <v>67</v>
      </c>
      <c r="AC7" s="15" t="s">
        <v>52</v>
      </c>
      <c r="AD7" s="15" t="s">
        <v>53</v>
      </c>
      <c r="AE7" s="15" t="s">
        <v>54</v>
      </c>
      <c r="AF7" s="15" t="s">
        <v>55</v>
      </c>
      <c r="AG7" s="14"/>
      <c r="AH7" s="14" t="str">
        <f>VLOOKUP(B7,[1]Sheet1!$A$2:$F$294,6,FALSE)</f>
        <v>一般困难</v>
      </c>
      <c r="AI7" s="14">
        <f>VLOOKUP(B7,[1]Sheet1!$A$2:$F$294,4,FALSE)</f>
        <v>0</v>
      </c>
      <c r="AJ7" s="14" t="str">
        <f>VLOOKUP(B7,[1]Sheet1!$A$2:$F$294,5,FALSE)</f>
        <v>无</v>
      </c>
    </row>
    <row r="8" s="2" customFormat="1" ht="14.25" spans="1:36">
      <c r="A8" s="11">
        <v>7</v>
      </c>
      <c r="B8" s="12">
        <v>22408000326</v>
      </c>
      <c r="C8" s="13" t="s">
        <v>94</v>
      </c>
      <c r="D8" s="14" t="s">
        <v>34</v>
      </c>
      <c r="E8" s="41" t="s">
        <v>95</v>
      </c>
      <c r="F8" s="14">
        <v>19850595671</v>
      </c>
      <c r="G8" s="15">
        <v>13004390835</v>
      </c>
      <c r="H8" s="15">
        <v>14782211266</v>
      </c>
      <c r="I8" s="14" t="s">
        <v>58</v>
      </c>
      <c r="J8" s="15">
        <v>2022080003</v>
      </c>
      <c r="K8" s="16" t="s">
        <v>37</v>
      </c>
      <c r="L8" s="14" t="s">
        <v>59</v>
      </c>
      <c r="M8" s="14" t="s">
        <v>60</v>
      </c>
      <c r="N8" s="14" t="s">
        <v>96</v>
      </c>
      <c r="O8" s="15">
        <v>2022</v>
      </c>
      <c r="P8" s="15" t="s">
        <v>41</v>
      </c>
      <c r="Q8" s="15" t="s">
        <v>97</v>
      </c>
      <c r="R8" s="15" t="s">
        <v>63</v>
      </c>
      <c r="S8" s="15" t="s">
        <v>98</v>
      </c>
      <c r="T8" s="15">
        <v>225800</v>
      </c>
      <c r="U8" s="15" t="s">
        <v>99</v>
      </c>
      <c r="V8" s="15" t="s">
        <v>58</v>
      </c>
      <c r="W8" s="15" t="s">
        <v>46</v>
      </c>
      <c r="X8" s="15" t="s">
        <v>74</v>
      </c>
      <c r="Y8" s="15" t="s">
        <v>47</v>
      </c>
      <c r="Z8" s="15" t="s">
        <v>49</v>
      </c>
      <c r="AA8" s="15" t="s">
        <v>100</v>
      </c>
      <c r="AB8" s="15" t="s">
        <v>51</v>
      </c>
      <c r="AC8" s="15" t="s">
        <v>101</v>
      </c>
      <c r="AD8" s="15" t="s">
        <v>53</v>
      </c>
      <c r="AE8" s="15" t="s">
        <v>54</v>
      </c>
      <c r="AF8" s="15" t="s">
        <v>55</v>
      </c>
      <c r="AG8" s="14"/>
      <c r="AH8" s="14" t="str">
        <f>VLOOKUP(B8,[1]Sheet1!$A$2:$F$294,6,FALSE)</f>
        <v>无</v>
      </c>
      <c r="AI8" s="14">
        <f>VLOOKUP(B8,[1]Sheet1!$A$2:$F$294,4,FALSE)</f>
        <v>0</v>
      </c>
      <c r="AJ8" s="14" t="str">
        <f>VLOOKUP(B8,[1]Sheet1!$A$2:$F$294,5,FALSE)</f>
        <v>无</v>
      </c>
    </row>
    <row r="9" s="2" customFormat="1" ht="14.25" spans="1:36">
      <c r="A9" s="11">
        <v>8</v>
      </c>
      <c r="B9" s="12">
        <v>22408000329</v>
      </c>
      <c r="C9" s="13" t="s">
        <v>102</v>
      </c>
      <c r="D9" s="14" t="s">
        <v>34</v>
      </c>
      <c r="E9" s="15" t="s">
        <v>103</v>
      </c>
      <c r="F9" s="14">
        <v>19374226372</v>
      </c>
      <c r="G9" s="15">
        <v>15116795828</v>
      </c>
      <c r="H9" s="15">
        <v>18077213999</v>
      </c>
      <c r="I9" s="14" t="s">
        <v>58</v>
      </c>
      <c r="J9" s="15">
        <v>2022080003</v>
      </c>
      <c r="K9" s="16" t="s">
        <v>37</v>
      </c>
      <c r="L9" s="14" t="s">
        <v>59</v>
      </c>
      <c r="M9" s="14" t="s">
        <v>60</v>
      </c>
      <c r="N9" s="14" t="s">
        <v>96</v>
      </c>
      <c r="O9" s="15">
        <v>2022</v>
      </c>
      <c r="P9" s="15" t="s">
        <v>41</v>
      </c>
      <c r="Q9" s="15" t="s">
        <v>104</v>
      </c>
      <c r="R9" s="15" t="s">
        <v>63</v>
      </c>
      <c r="S9" s="15" t="s">
        <v>105</v>
      </c>
      <c r="T9" s="15">
        <v>413113</v>
      </c>
      <c r="U9" s="15" t="s">
        <v>45</v>
      </c>
      <c r="V9" s="15" t="s">
        <v>58</v>
      </c>
      <c r="W9" s="15" t="s">
        <v>46</v>
      </c>
      <c r="X9" s="15" t="s">
        <v>47</v>
      </c>
      <c r="Y9" s="15" t="s">
        <v>88</v>
      </c>
      <c r="Z9" s="15" t="s">
        <v>49</v>
      </c>
      <c r="AA9" s="15" t="s">
        <v>50</v>
      </c>
      <c r="AB9" s="15" t="s">
        <v>67</v>
      </c>
      <c r="AC9" s="15" t="s">
        <v>52</v>
      </c>
      <c r="AD9" s="15" t="s">
        <v>53</v>
      </c>
      <c r="AE9" s="15" t="s">
        <v>106</v>
      </c>
      <c r="AF9" s="15" t="s">
        <v>55</v>
      </c>
      <c r="AG9" s="14"/>
      <c r="AH9" s="14" t="str">
        <f>VLOOKUP(B9,[1]Sheet1!$A$2:$F$294,6,FALSE)</f>
        <v>无</v>
      </c>
      <c r="AI9" s="14">
        <f>VLOOKUP(B9,[1]Sheet1!$A$2:$F$294,4,FALSE)</f>
        <v>0</v>
      </c>
      <c r="AJ9" s="14" t="str">
        <f>VLOOKUP(B9,[1]Sheet1!$A$2:$F$294,5,FALSE)</f>
        <v>无</v>
      </c>
    </row>
    <row r="10" s="2" customFormat="1" ht="14.25" spans="1:36">
      <c r="A10" s="11">
        <v>9</v>
      </c>
      <c r="B10" s="12">
        <v>22408000340</v>
      </c>
      <c r="C10" s="13" t="s">
        <v>107</v>
      </c>
      <c r="D10" s="14" t="s">
        <v>34</v>
      </c>
      <c r="E10" s="41" t="s">
        <v>108</v>
      </c>
      <c r="F10" s="14">
        <v>19375115779</v>
      </c>
      <c r="G10" s="15">
        <v>13308440789</v>
      </c>
      <c r="H10" s="15">
        <v>18774867480</v>
      </c>
      <c r="I10" s="14" t="s">
        <v>58</v>
      </c>
      <c r="J10" s="15">
        <v>2022080003</v>
      </c>
      <c r="K10" s="16" t="s">
        <v>37</v>
      </c>
      <c r="L10" s="14" t="s">
        <v>59</v>
      </c>
      <c r="M10" s="14" t="s">
        <v>60</v>
      </c>
      <c r="N10" s="14" t="s">
        <v>109</v>
      </c>
      <c r="O10" s="15">
        <v>2022</v>
      </c>
      <c r="P10" s="15" t="s">
        <v>41</v>
      </c>
      <c r="Q10" s="15" t="s">
        <v>110</v>
      </c>
      <c r="R10" s="15" t="s">
        <v>43</v>
      </c>
      <c r="S10" s="15" t="s">
        <v>111</v>
      </c>
      <c r="T10" s="15">
        <v>410000</v>
      </c>
      <c r="U10" s="15" t="s">
        <v>45</v>
      </c>
      <c r="V10" s="15" t="s">
        <v>58</v>
      </c>
      <c r="W10" s="15" t="s">
        <v>46</v>
      </c>
      <c r="X10" s="15" t="s">
        <v>74</v>
      </c>
      <c r="Y10" s="15" t="s">
        <v>48</v>
      </c>
      <c r="Z10" s="15" t="s">
        <v>75</v>
      </c>
      <c r="AA10" s="15" t="s">
        <v>50</v>
      </c>
      <c r="AB10" s="15" t="s">
        <v>67</v>
      </c>
      <c r="AC10" s="15" t="s">
        <v>52</v>
      </c>
      <c r="AD10" s="15" t="s">
        <v>53</v>
      </c>
      <c r="AE10" s="15" t="s">
        <v>54</v>
      </c>
      <c r="AF10" s="15" t="s">
        <v>55</v>
      </c>
      <c r="AG10" s="14"/>
      <c r="AH10" s="14" t="str">
        <f>VLOOKUP(B10,[1]Sheet1!$A$2:$F$294,6,FALSE)</f>
        <v>无</v>
      </c>
      <c r="AI10" s="14">
        <f>VLOOKUP(B10,[1]Sheet1!$A$2:$F$294,4,FALSE)</f>
        <v>0</v>
      </c>
      <c r="AJ10" s="14" t="str">
        <f>VLOOKUP(B10,[1]Sheet1!$A$2:$F$294,5,FALSE)</f>
        <v>无</v>
      </c>
    </row>
    <row r="11" s="2" customFormat="1" ht="14.25" spans="1:36">
      <c r="A11" s="11">
        <v>10</v>
      </c>
      <c r="B11" s="12">
        <v>22408000341</v>
      </c>
      <c r="C11" s="13" t="s">
        <v>112</v>
      </c>
      <c r="D11" s="14" t="s">
        <v>34</v>
      </c>
      <c r="E11" s="41" t="s">
        <v>113</v>
      </c>
      <c r="F11" s="14">
        <v>15111610136</v>
      </c>
      <c r="G11" s="15">
        <v>13787637078</v>
      </c>
      <c r="H11" s="15">
        <v>13652590068</v>
      </c>
      <c r="I11" s="14" t="s">
        <v>36</v>
      </c>
      <c r="J11" s="15">
        <v>2022080003</v>
      </c>
      <c r="K11" s="16" t="s">
        <v>37</v>
      </c>
      <c r="L11" s="14" t="s">
        <v>38</v>
      </c>
      <c r="M11" s="14" t="s">
        <v>39</v>
      </c>
      <c r="N11" s="14" t="s">
        <v>114</v>
      </c>
      <c r="O11" s="15">
        <v>2022</v>
      </c>
      <c r="P11" s="15" t="s">
        <v>41</v>
      </c>
      <c r="Q11" s="15" t="s">
        <v>115</v>
      </c>
      <c r="R11" s="15" t="s">
        <v>63</v>
      </c>
      <c r="S11" s="15" t="s">
        <v>116</v>
      </c>
      <c r="T11" s="15">
        <v>425000</v>
      </c>
      <c r="U11" s="15" t="s">
        <v>45</v>
      </c>
      <c r="V11" s="15" t="s">
        <v>36</v>
      </c>
      <c r="W11" s="15" t="s">
        <v>46</v>
      </c>
      <c r="X11" s="15" t="s">
        <v>47</v>
      </c>
      <c r="Y11" s="15" t="s">
        <v>47</v>
      </c>
      <c r="Z11" s="15" t="s">
        <v>49</v>
      </c>
      <c r="AA11" s="15" t="s">
        <v>100</v>
      </c>
      <c r="AB11" s="15" t="s">
        <v>67</v>
      </c>
      <c r="AC11" s="15" t="s">
        <v>101</v>
      </c>
      <c r="AD11" s="15" t="s">
        <v>53</v>
      </c>
      <c r="AE11" s="15" t="s">
        <v>54</v>
      </c>
      <c r="AF11" s="15" t="s">
        <v>55</v>
      </c>
      <c r="AG11" s="14"/>
      <c r="AH11" s="14" t="str">
        <f>VLOOKUP(B11,[1]Sheet1!$A$2:$F$294,6,FALSE)</f>
        <v>困难</v>
      </c>
      <c r="AI11" s="14">
        <f>VLOOKUP(B11,[1]Sheet1!$A$2:$F$294,4,FALSE)</f>
        <v>0</v>
      </c>
      <c r="AJ11" s="14" t="str">
        <f>VLOOKUP(B11,[1]Sheet1!$A$2:$F$294,5,FALSE)</f>
        <v>无</v>
      </c>
    </row>
    <row r="12" s="2" customFormat="1" ht="14.25" spans="1:36">
      <c r="A12" s="11">
        <v>11</v>
      </c>
      <c r="B12" s="12">
        <v>22408000343</v>
      </c>
      <c r="C12" s="13" t="s">
        <v>117</v>
      </c>
      <c r="D12" s="14" t="s">
        <v>34</v>
      </c>
      <c r="E12" s="41" t="s">
        <v>118</v>
      </c>
      <c r="F12" s="14">
        <v>18570944504</v>
      </c>
      <c r="G12" s="15">
        <v>17857107361</v>
      </c>
      <c r="H12" s="15">
        <v>13083992736</v>
      </c>
      <c r="I12" s="14" t="s">
        <v>58</v>
      </c>
      <c r="J12" s="15">
        <v>2022080003</v>
      </c>
      <c r="K12" s="16" t="s">
        <v>37</v>
      </c>
      <c r="L12" s="14" t="s">
        <v>59</v>
      </c>
      <c r="M12" s="14" t="s">
        <v>60</v>
      </c>
      <c r="N12" s="14" t="s">
        <v>109</v>
      </c>
      <c r="O12" s="15">
        <v>2022</v>
      </c>
      <c r="P12" s="15" t="s">
        <v>41</v>
      </c>
      <c r="Q12" s="15" t="s">
        <v>119</v>
      </c>
      <c r="R12" s="15" t="s">
        <v>63</v>
      </c>
      <c r="S12" s="15" t="s">
        <v>120</v>
      </c>
      <c r="T12" s="15">
        <v>421600</v>
      </c>
      <c r="U12" s="15" t="s">
        <v>45</v>
      </c>
      <c r="V12" s="15" t="s">
        <v>58</v>
      </c>
      <c r="W12" s="15" t="s">
        <v>46</v>
      </c>
      <c r="X12" s="15" t="s">
        <v>47</v>
      </c>
      <c r="Y12" s="15" t="s">
        <v>88</v>
      </c>
      <c r="Z12" s="15" t="s">
        <v>49</v>
      </c>
      <c r="AA12" s="15" t="s">
        <v>100</v>
      </c>
      <c r="AB12" s="15" t="s">
        <v>51</v>
      </c>
      <c r="AC12" s="15" t="s">
        <v>52</v>
      </c>
      <c r="AD12" s="15" t="s">
        <v>53</v>
      </c>
      <c r="AE12" s="15" t="s">
        <v>54</v>
      </c>
      <c r="AF12" s="15" t="s">
        <v>55</v>
      </c>
      <c r="AG12" s="14"/>
      <c r="AH12" s="14" t="str">
        <f>VLOOKUP(B12,[1]Sheet1!$A$2:$F$294,6,FALSE)</f>
        <v>无</v>
      </c>
      <c r="AI12" s="14">
        <f>VLOOKUP(B12,[1]Sheet1!$A$2:$F$294,4,FALSE)</f>
        <v>0</v>
      </c>
      <c r="AJ12" s="14" t="str">
        <f>VLOOKUP(B12,[1]Sheet1!$A$2:$F$294,5,FALSE)</f>
        <v>无</v>
      </c>
    </row>
    <row r="13" s="2" customFormat="1" ht="14.25" spans="1:36">
      <c r="A13" s="11">
        <v>12</v>
      </c>
      <c r="B13" s="12">
        <v>22408000416</v>
      </c>
      <c r="C13" s="13" t="s">
        <v>121</v>
      </c>
      <c r="D13" s="14" t="s">
        <v>34</v>
      </c>
      <c r="E13" s="41" t="s">
        <v>122</v>
      </c>
      <c r="F13" s="14">
        <v>15773553720</v>
      </c>
      <c r="G13" s="15">
        <v>18773553720</v>
      </c>
      <c r="H13" s="15">
        <v>15274135824</v>
      </c>
      <c r="I13" s="14" t="s">
        <v>58</v>
      </c>
      <c r="J13" s="15">
        <v>2022080004</v>
      </c>
      <c r="K13" s="16" t="s">
        <v>123</v>
      </c>
      <c r="L13" s="14" t="s">
        <v>59</v>
      </c>
      <c r="M13" s="14" t="s">
        <v>60</v>
      </c>
      <c r="N13" s="14" t="s">
        <v>124</v>
      </c>
      <c r="O13" s="15">
        <v>2022</v>
      </c>
      <c r="P13" s="15" t="s">
        <v>41</v>
      </c>
      <c r="Q13" s="15" t="s">
        <v>42</v>
      </c>
      <c r="R13" s="15" t="s">
        <v>63</v>
      </c>
      <c r="S13" s="15" t="s">
        <v>125</v>
      </c>
      <c r="T13" s="15">
        <v>424300</v>
      </c>
      <c r="U13" s="15" t="s">
        <v>45</v>
      </c>
      <c r="V13" s="15" t="s">
        <v>58</v>
      </c>
      <c r="W13" s="15" t="s">
        <v>46</v>
      </c>
      <c r="X13" s="15" t="s">
        <v>74</v>
      </c>
      <c r="Y13" s="15" t="s">
        <v>126</v>
      </c>
      <c r="Z13" s="15" t="s">
        <v>49</v>
      </c>
      <c r="AA13" s="15" t="s">
        <v>50</v>
      </c>
      <c r="AB13" s="15" t="s">
        <v>67</v>
      </c>
      <c r="AC13" s="15" t="s">
        <v>52</v>
      </c>
      <c r="AD13" s="15" t="s">
        <v>53</v>
      </c>
      <c r="AE13" s="15" t="s">
        <v>54</v>
      </c>
      <c r="AF13" s="15" t="s">
        <v>55</v>
      </c>
      <c r="AG13" s="14"/>
      <c r="AH13" s="14" t="str">
        <f>VLOOKUP(B13,[1]Sheet1!$A$2:$F$294,6,FALSE)</f>
        <v>无</v>
      </c>
      <c r="AI13" s="14">
        <f>VLOOKUP(B13,[1]Sheet1!$A$2:$F$294,4,FALSE)</f>
        <v>0</v>
      </c>
      <c r="AJ13" s="14" t="str">
        <f>VLOOKUP(B13,[1]Sheet1!$A$2:$F$294,5,FALSE)</f>
        <v>无</v>
      </c>
    </row>
    <row r="14" s="2" customFormat="1" ht="14.25" spans="1:36">
      <c r="A14" s="11">
        <v>13</v>
      </c>
      <c r="B14" s="12">
        <v>22408000429</v>
      </c>
      <c r="C14" s="13" t="s">
        <v>127</v>
      </c>
      <c r="D14" s="14" t="s">
        <v>34</v>
      </c>
      <c r="E14" s="41" t="s">
        <v>128</v>
      </c>
      <c r="F14" s="14">
        <v>19973011773</v>
      </c>
      <c r="G14" s="15">
        <v>19973015572</v>
      </c>
      <c r="H14" s="15">
        <v>19973018227</v>
      </c>
      <c r="I14" s="14" t="s">
        <v>58</v>
      </c>
      <c r="J14" s="15">
        <v>2022080004</v>
      </c>
      <c r="K14" s="16" t="s">
        <v>123</v>
      </c>
      <c r="L14" s="14" t="s">
        <v>59</v>
      </c>
      <c r="M14" s="14" t="s">
        <v>60</v>
      </c>
      <c r="N14" s="14" t="s">
        <v>129</v>
      </c>
      <c r="O14" s="15">
        <v>2022</v>
      </c>
      <c r="P14" s="15" t="s">
        <v>41</v>
      </c>
      <c r="Q14" s="15" t="s">
        <v>130</v>
      </c>
      <c r="R14" s="15" t="s">
        <v>63</v>
      </c>
      <c r="S14" s="15" t="s">
        <v>131</v>
      </c>
      <c r="T14" s="15">
        <v>410400</v>
      </c>
      <c r="U14" s="15" t="s">
        <v>45</v>
      </c>
      <c r="V14" s="15" t="s">
        <v>58</v>
      </c>
      <c r="W14" s="15" t="s">
        <v>46</v>
      </c>
      <c r="X14" s="15" t="s">
        <v>47</v>
      </c>
      <c r="Y14" s="15" t="s">
        <v>132</v>
      </c>
      <c r="Z14" s="15" t="s">
        <v>49</v>
      </c>
      <c r="AA14" s="15" t="s">
        <v>50</v>
      </c>
      <c r="AB14" s="15" t="s">
        <v>67</v>
      </c>
      <c r="AC14" s="15" t="s">
        <v>52</v>
      </c>
      <c r="AD14" s="15" t="s">
        <v>53</v>
      </c>
      <c r="AE14" s="15" t="s">
        <v>54</v>
      </c>
      <c r="AF14" s="15" t="s">
        <v>55</v>
      </c>
      <c r="AG14" s="14"/>
      <c r="AH14" s="14" t="str">
        <f>VLOOKUP(B14,[1]Sheet1!$A$2:$F$294,6,FALSE)</f>
        <v>特别困难</v>
      </c>
      <c r="AI14" s="14">
        <f>VLOOKUP(B14,[1]Sheet1!$A$2:$F$294,4,FALSE)</f>
        <v>2</v>
      </c>
      <c r="AJ14" s="14" t="str">
        <f>VLOOKUP(B14,[1]Sheet1!$A$2:$F$294,5,FALSE)</f>
        <v>JAVA程序设计,软件工程</v>
      </c>
    </row>
    <row r="15" s="2" customFormat="1" ht="14.25" spans="1:36">
      <c r="A15" s="11">
        <v>14</v>
      </c>
      <c r="B15" s="12">
        <v>22408000431</v>
      </c>
      <c r="C15" s="13" t="s">
        <v>133</v>
      </c>
      <c r="D15" s="14" t="s">
        <v>34</v>
      </c>
      <c r="E15" s="41" t="s">
        <v>134</v>
      </c>
      <c r="F15" s="14">
        <v>18821875133</v>
      </c>
      <c r="G15" s="15">
        <v>13787848053</v>
      </c>
      <c r="H15" s="15">
        <v>15842892178</v>
      </c>
      <c r="I15" s="14" t="s">
        <v>58</v>
      </c>
      <c r="J15" s="15">
        <v>2022080004</v>
      </c>
      <c r="K15" s="16" t="s">
        <v>123</v>
      </c>
      <c r="L15" s="14" t="s">
        <v>59</v>
      </c>
      <c r="M15" s="14" t="s">
        <v>60</v>
      </c>
      <c r="N15" s="14" t="s">
        <v>129</v>
      </c>
      <c r="O15" s="15">
        <v>2022</v>
      </c>
      <c r="P15" s="15" t="s">
        <v>41</v>
      </c>
      <c r="Q15" s="15" t="s">
        <v>130</v>
      </c>
      <c r="R15" s="15" t="s">
        <v>63</v>
      </c>
      <c r="S15" s="15" t="s">
        <v>135</v>
      </c>
      <c r="T15" s="15">
        <v>414599</v>
      </c>
      <c r="U15" s="15" t="s">
        <v>45</v>
      </c>
      <c r="V15" s="15" t="s">
        <v>58</v>
      </c>
      <c r="W15" s="15" t="s">
        <v>46</v>
      </c>
      <c r="X15" s="15" t="s">
        <v>47</v>
      </c>
      <c r="Y15" s="15" t="s">
        <v>136</v>
      </c>
      <c r="Z15" s="15" t="s">
        <v>49</v>
      </c>
      <c r="AA15" s="15" t="s">
        <v>50</v>
      </c>
      <c r="AB15" s="15" t="s">
        <v>67</v>
      </c>
      <c r="AC15" s="15" t="s">
        <v>52</v>
      </c>
      <c r="AD15" s="15" t="s">
        <v>53</v>
      </c>
      <c r="AE15" s="15" t="s">
        <v>54</v>
      </c>
      <c r="AF15" s="15" t="s">
        <v>55</v>
      </c>
      <c r="AG15" s="14"/>
      <c r="AH15" s="14" t="str">
        <f>VLOOKUP(B15,[1]Sheet1!$A$2:$F$294,6,FALSE)</f>
        <v>特别困难</v>
      </c>
      <c r="AI15" s="14">
        <f>VLOOKUP(B15,[1]Sheet1!$A$2:$F$294,4,FALSE)</f>
        <v>0</v>
      </c>
      <c r="AJ15" s="14" t="str">
        <f>VLOOKUP(B15,[1]Sheet1!$A$2:$F$294,5,FALSE)</f>
        <v>无</v>
      </c>
    </row>
    <row r="16" s="2" customFormat="1" ht="14.25" spans="1:36">
      <c r="A16" s="11">
        <v>15</v>
      </c>
      <c r="B16" s="12">
        <v>22408000433</v>
      </c>
      <c r="C16" s="13" t="s">
        <v>137</v>
      </c>
      <c r="D16" s="14" t="s">
        <v>34</v>
      </c>
      <c r="E16" s="41" t="s">
        <v>138</v>
      </c>
      <c r="F16" s="14">
        <v>18692076231</v>
      </c>
      <c r="G16" s="15">
        <v>13407344394</v>
      </c>
      <c r="H16" s="15">
        <v>13203066212</v>
      </c>
      <c r="I16" s="14" t="s">
        <v>58</v>
      </c>
      <c r="J16" s="15">
        <v>2022080004</v>
      </c>
      <c r="K16" s="16" t="s">
        <v>123</v>
      </c>
      <c r="L16" s="14" t="s">
        <v>59</v>
      </c>
      <c r="M16" s="14" t="s">
        <v>60</v>
      </c>
      <c r="N16" s="14" t="s">
        <v>139</v>
      </c>
      <c r="O16" s="15">
        <v>2022</v>
      </c>
      <c r="P16" s="15" t="s">
        <v>41</v>
      </c>
      <c r="Q16" s="15" t="s">
        <v>140</v>
      </c>
      <c r="R16" s="15" t="s">
        <v>43</v>
      </c>
      <c r="S16" s="15" t="s">
        <v>141</v>
      </c>
      <c r="T16" s="15">
        <v>421001</v>
      </c>
      <c r="U16" s="15" t="s">
        <v>45</v>
      </c>
      <c r="V16" s="15" t="s">
        <v>58</v>
      </c>
      <c r="W16" s="15" t="s">
        <v>46</v>
      </c>
      <c r="X16" s="15" t="s">
        <v>74</v>
      </c>
      <c r="Y16" s="15" t="s">
        <v>47</v>
      </c>
      <c r="Z16" s="15" t="s">
        <v>75</v>
      </c>
      <c r="AA16" s="15" t="s">
        <v>50</v>
      </c>
      <c r="AB16" s="15" t="s">
        <v>67</v>
      </c>
      <c r="AC16" s="15" t="s">
        <v>52</v>
      </c>
      <c r="AD16" s="15" t="s">
        <v>53</v>
      </c>
      <c r="AE16" s="15" t="s">
        <v>54</v>
      </c>
      <c r="AF16" s="15" t="s">
        <v>55</v>
      </c>
      <c r="AG16" s="14"/>
      <c r="AH16" s="14" t="str">
        <f>VLOOKUP(B16,[1]Sheet1!$A$2:$F$294,6,FALSE)</f>
        <v>无</v>
      </c>
      <c r="AI16" s="14">
        <f>VLOOKUP(B16,[1]Sheet1!$A$2:$F$294,4,FALSE)</f>
        <v>0</v>
      </c>
      <c r="AJ16" s="14" t="str">
        <f>VLOOKUP(B16,[1]Sheet1!$A$2:$F$294,5,FALSE)</f>
        <v>无</v>
      </c>
    </row>
    <row r="17" s="2" customFormat="1" ht="14.25" spans="1:36">
      <c r="A17" s="11">
        <v>16</v>
      </c>
      <c r="B17" s="12">
        <v>22408000438</v>
      </c>
      <c r="C17" s="13" t="s">
        <v>142</v>
      </c>
      <c r="D17" s="14" t="s">
        <v>34</v>
      </c>
      <c r="E17" s="41" t="s">
        <v>143</v>
      </c>
      <c r="F17" s="14">
        <v>17267645930</v>
      </c>
      <c r="G17" s="15">
        <v>13964278533</v>
      </c>
      <c r="H17" s="15">
        <v>13361292836</v>
      </c>
      <c r="I17" s="14" t="s">
        <v>58</v>
      </c>
      <c r="J17" s="15">
        <v>2022080004</v>
      </c>
      <c r="K17" s="16" t="s">
        <v>123</v>
      </c>
      <c r="L17" s="14" t="s">
        <v>59</v>
      </c>
      <c r="M17" s="14" t="s">
        <v>60</v>
      </c>
      <c r="N17" s="14" t="s">
        <v>144</v>
      </c>
      <c r="O17" s="15">
        <v>2022</v>
      </c>
      <c r="P17" s="15" t="s">
        <v>41</v>
      </c>
      <c r="Q17" s="15" t="s">
        <v>145</v>
      </c>
      <c r="R17" s="15" t="s">
        <v>43</v>
      </c>
      <c r="S17" s="15" t="s">
        <v>146</v>
      </c>
      <c r="T17" s="15">
        <v>266200</v>
      </c>
      <c r="U17" s="15" t="s">
        <v>147</v>
      </c>
      <c r="V17" s="15" t="s">
        <v>58</v>
      </c>
      <c r="W17" s="15" t="s">
        <v>46</v>
      </c>
      <c r="X17" s="15" t="s">
        <v>47</v>
      </c>
      <c r="Y17" s="15" t="s">
        <v>126</v>
      </c>
      <c r="Z17" s="15" t="s">
        <v>49</v>
      </c>
      <c r="AA17" s="15" t="s">
        <v>50</v>
      </c>
      <c r="AB17" s="15" t="s">
        <v>67</v>
      </c>
      <c r="AC17" s="15" t="s">
        <v>52</v>
      </c>
      <c r="AD17" s="15" t="s">
        <v>53</v>
      </c>
      <c r="AE17" s="15" t="s">
        <v>148</v>
      </c>
      <c r="AF17" s="15" t="s">
        <v>55</v>
      </c>
      <c r="AG17" s="14"/>
      <c r="AH17" s="14" t="str">
        <f>VLOOKUP(B17,[1]Sheet1!$A$2:$F$294,6,FALSE)</f>
        <v>无</v>
      </c>
      <c r="AI17" s="14">
        <f>VLOOKUP(B17,[1]Sheet1!$A$2:$F$294,4,FALSE)</f>
        <v>0</v>
      </c>
      <c r="AJ17" s="14" t="str">
        <f>VLOOKUP(B17,[1]Sheet1!$A$2:$F$294,5,FALSE)</f>
        <v>无</v>
      </c>
    </row>
    <row r="18" s="2" customFormat="1" ht="14.25" spans="1:36">
      <c r="A18" s="11">
        <v>17</v>
      </c>
      <c r="B18" s="12">
        <v>22408000503</v>
      </c>
      <c r="C18" s="13" t="s">
        <v>149</v>
      </c>
      <c r="D18" s="14" t="s">
        <v>34</v>
      </c>
      <c r="E18" s="41" t="s">
        <v>150</v>
      </c>
      <c r="F18" s="14">
        <v>15197768875</v>
      </c>
      <c r="G18" s="15">
        <v>13692292858</v>
      </c>
      <c r="H18" s="15">
        <v>13691727944</v>
      </c>
      <c r="I18" s="14" t="s">
        <v>58</v>
      </c>
      <c r="J18" s="15">
        <v>2022080005</v>
      </c>
      <c r="K18" s="16" t="s">
        <v>151</v>
      </c>
      <c r="L18" s="14" t="s">
        <v>59</v>
      </c>
      <c r="M18" s="14" t="s">
        <v>152</v>
      </c>
      <c r="N18" s="14" t="s">
        <v>153</v>
      </c>
      <c r="O18" s="15">
        <v>2022</v>
      </c>
      <c r="P18" s="15" t="s">
        <v>41</v>
      </c>
      <c r="Q18" s="15" t="s">
        <v>104</v>
      </c>
      <c r="R18" s="15" t="s">
        <v>43</v>
      </c>
      <c r="S18" s="15" t="s">
        <v>154</v>
      </c>
      <c r="T18" s="15">
        <v>413518</v>
      </c>
      <c r="U18" s="15" t="s">
        <v>45</v>
      </c>
      <c r="V18" s="15" t="s">
        <v>58</v>
      </c>
      <c r="W18" s="15" t="s">
        <v>46</v>
      </c>
      <c r="X18" s="15" t="s">
        <v>47</v>
      </c>
      <c r="Y18" s="15" t="s">
        <v>88</v>
      </c>
      <c r="Z18" s="15" t="s">
        <v>49</v>
      </c>
      <c r="AA18" s="15" t="s">
        <v>50</v>
      </c>
      <c r="AB18" s="15" t="s">
        <v>51</v>
      </c>
      <c r="AC18" s="15" t="s">
        <v>52</v>
      </c>
      <c r="AD18" s="15" t="s">
        <v>53</v>
      </c>
      <c r="AE18" s="15" t="s">
        <v>54</v>
      </c>
      <c r="AF18" s="15" t="s">
        <v>55</v>
      </c>
      <c r="AG18" s="14"/>
      <c r="AH18" s="14" t="str">
        <f>VLOOKUP(B18,[1]Sheet1!$A$2:$F$294,6,FALSE)</f>
        <v>无</v>
      </c>
      <c r="AI18" s="14">
        <f>VLOOKUP(B18,[1]Sheet1!$A$2:$F$294,4,FALSE)</f>
        <v>4</v>
      </c>
      <c r="AJ18" s="14" t="str">
        <f>VLOOKUP(B18,[1]Sheet1!$A$2:$F$294,5,FALSE)</f>
        <v>数据库原理,汇编语言程序设计,计算机组成原理,面向对象程序设计</v>
      </c>
    </row>
    <row r="19" s="2" customFormat="1" ht="14.25" spans="1:36">
      <c r="A19" s="11">
        <v>18</v>
      </c>
      <c r="B19" s="12">
        <v>22408000513</v>
      </c>
      <c r="C19" s="13" t="s">
        <v>155</v>
      </c>
      <c r="D19" s="14" t="s">
        <v>34</v>
      </c>
      <c r="E19" s="15" t="s">
        <v>156</v>
      </c>
      <c r="F19" s="14">
        <v>19196060515</v>
      </c>
      <c r="G19" s="15">
        <v>19196060520</v>
      </c>
      <c r="H19" s="15">
        <v>13017271746</v>
      </c>
      <c r="I19" s="14" t="s">
        <v>58</v>
      </c>
      <c r="J19" s="15">
        <v>2022080005</v>
      </c>
      <c r="K19" s="16" t="s">
        <v>151</v>
      </c>
      <c r="L19" s="14" t="s">
        <v>59</v>
      </c>
      <c r="M19" s="14" t="s">
        <v>152</v>
      </c>
      <c r="N19" s="14" t="s">
        <v>157</v>
      </c>
      <c r="O19" s="15">
        <v>2022</v>
      </c>
      <c r="P19" s="15" t="s">
        <v>41</v>
      </c>
      <c r="Q19" s="15" t="s">
        <v>158</v>
      </c>
      <c r="R19" s="15" t="s">
        <v>63</v>
      </c>
      <c r="S19" s="15" t="s">
        <v>159</v>
      </c>
      <c r="T19" s="15">
        <v>415100</v>
      </c>
      <c r="U19" s="15" t="s">
        <v>45</v>
      </c>
      <c r="V19" s="15" t="s">
        <v>58</v>
      </c>
      <c r="W19" s="15" t="s">
        <v>46</v>
      </c>
      <c r="X19" s="15" t="s">
        <v>74</v>
      </c>
      <c r="Y19" s="15" t="s">
        <v>48</v>
      </c>
      <c r="Z19" s="15" t="s">
        <v>49</v>
      </c>
      <c r="AA19" s="15" t="s">
        <v>160</v>
      </c>
      <c r="AB19" s="15" t="s">
        <v>67</v>
      </c>
      <c r="AC19" s="15" t="s">
        <v>52</v>
      </c>
      <c r="AD19" s="15" t="s">
        <v>53</v>
      </c>
      <c r="AE19" s="15" t="s">
        <v>54</v>
      </c>
      <c r="AF19" s="15" t="s">
        <v>55</v>
      </c>
      <c r="AG19" s="15"/>
      <c r="AH19" s="14" t="str">
        <f>VLOOKUP(B19,[1]Sheet1!$A$2:$F$294,6,FALSE)</f>
        <v>无</v>
      </c>
      <c r="AI19" s="14">
        <f>VLOOKUP(B19,[1]Sheet1!$A$2:$F$294,4,FALSE)</f>
        <v>0</v>
      </c>
      <c r="AJ19" s="14" t="str">
        <f>VLOOKUP(B19,[1]Sheet1!$A$2:$F$294,5,FALSE)</f>
        <v>无</v>
      </c>
    </row>
    <row r="20" s="2" customFormat="1" ht="14.25" spans="1:36">
      <c r="A20" s="11">
        <v>19</v>
      </c>
      <c r="B20" s="12">
        <v>22408000517</v>
      </c>
      <c r="C20" s="13" t="s">
        <v>161</v>
      </c>
      <c r="D20" s="14" t="s">
        <v>34</v>
      </c>
      <c r="E20" s="41" t="s">
        <v>162</v>
      </c>
      <c r="F20" s="14">
        <v>17267645517</v>
      </c>
      <c r="G20" s="15">
        <v>15973983818</v>
      </c>
      <c r="H20" s="15">
        <v>13549492466</v>
      </c>
      <c r="I20" s="14" t="s">
        <v>58</v>
      </c>
      <c r="J20" s="15">
        <v>2022080005</v>
      </c>
      <c r="K20" s="16" t="s">
        <v>151</v>
      </c>
      <c r="L20" s="14" t="s">
        <v>59</v>
      </c>
      <c r="M20" s="14" t="s">
        <v>152</v>
      </c>
      <c r="N20" s="14" t="s">
        <v>163</v>
      </c>
      <c r="O20" s="15">
        <v>2022</v>
      </c>
      <c r="P20" s="15" t="s">
        <v>41</v>
      </c>
      <c r="Q20" s="15" t="s">
        <v>164</v>
      </c>
      <c r="R20" s="15" t="s">
        <v>63</v>
      </c>
      <c r="S20" s="15" t="s">
        <v>165</v>
      </c>
      <c r="T20" s="15">
        <v>422813</v>
      </c>
      <c r="U20" s="15" t="s">
        <v>45</v>
      </c>
      <c r="V20" s="15" t="s">
        <v>58</v>
      </c>
      <c r="W20" s="15" t="s">
        <v>46</v>
      </c>
      <c r="X20" s="15" t="s">
        <v>74</v>
      </c>
      <c r="Y20" s="15" t="s">
        <v>48</v>
      </c>
      <c r="Z20" s="15" t="s">
        <v>49</v>
      </c>
      <c r="AA20" s="15" t="s">
        <v>166</v>
      </c>
      <c r="AB20" s="15" t="s">
        <v>67</v>
      </c>
      <c r="AC20" s="15" t="s">
        <v>52</v>
      </c>
      <c r="AD20" s="15" t="s">
        <v>53</v>
      </c>
      <c r="AE20" s="15" t="s">
        <v>54</v>
      </c>
      <c r="AF20" s="15" t="s">
        <v>55</v>
      </c>
      <c r="AG20" s="15"/>
      <c r="AH20" s="14" t="str">
        <f>VLOOKUP(B20,[1]Sheet1!$A$2:$F$294,6,FALSE)</f>
        <v>无</v>
      </c>
      <c r="AI20" s="14">
        <f>VLOOKUP(B20,[1]Sheet1!$A$2:$F$294,4,FALSE)</f>
        <v>0</v>
      </c>
      <c r="AJ20" s="14" t="str">
        <f>VLOOKUP(B20,[1]Sheet1!$A$2:$F$294,5,FALSE)</f>
        <v>无</v>
      </c>
    </row>
    <row r="21" s="2" customFormat="1" ht="14.25" spans="1:36">
      <c r="A21" s="11">
        <v>20</v>
      </c>
      <c r="B21" s="12">
        <v>22408000519</v>
      </c>
      <c r="C21" s="13" t="s">
        <v>167</v>
      </c>
      <c r="D21" s="14" t="s">
        <v>34</v>
      </c>
      <c r="E21" s="41" t="s">
        <v>168</v>
      </c>
      <c r="F21" s="14">
        <v>17267619783</v>
      </c>
      <c r="G21" s="15">
        <v>15874857036</v>
      </c>
      <c r="H21" s="15">
        <v>18229836855</v>
      </c>
      <c r="I21" s="14" t="s">
        <v>58</v>
      </c>
      <c r="J21" s="15">
        <v>2022080005</v>
      </c>
      <c r="K21" s="16" t="s">
        <v>151</v>
      </c>
      <c r="L21" s="14" t="s">
        <v>59</v>
      </c>
      <c r="M21" s="14" t="s">
        <v>152</v>
      </c>
      <c r="N21" s="14" t="s">
        <v>163</v>
      </c>
      <c r="O21" s="15">
        <v>2022</v>
      </c>
      <c r="P21" s="15" t="s">
        <v>41</v>
      </c>
      <c r="Q21" s="15" t="s">
        <v>169</v>
      </c>
      <c r="R21" s="15" t="s">
        <v>63</v>
      </c>
      <c r="S21" s="15" t="s">
        <v>170</v>
      </c>
      <c r="T21" s="15">
        <v>410029</v>
      </c>
      <c r="U21" s="15" t="s">
        <v>45</v>
      </c>
      <c r="V21" s="15" t="s">
        <v>58</v>
      </c>
      <c r="W21" s="15" t="s">
        <v>46</v>
      </c>
      <c r="X21" s="15" t="s">
        <v>74</v>
      </c>
      <c r="Y21" s="15" t="s">
        <v>48</v>
      </c>
      <c r="Z21" s="15" t="s">
        <v>75</v>
      </c>
      <c r="AA21" s="15" t="s">
        <v>50</v>
      </c>
      <c r="AB21" s="15" t="s">
        <v>67</v>
      </c>
      <c r="AC21" s="15" t="s">
        <v>52</v>
      </c>
      <c r="AD21" s="15" t="s">
        <v>53</v>
      </c>
      <c r="AE21" s="15" t="s">
        <v>54</v>
      </c>
      <c r="AF21" s="15" t="s">
        <v>55</v>
      </c>
      <c r="AG21" s="15"/>
      <c r="AH21" s="14" t="str">
        <f>VLOOKUP(B21,[1]Sheet1!$A$2:$F$294,6,FALSE)</f>
        <v>无</v>
      </c>
      <c r="AI21" s="14">
        <f>VLOOKUP(B21,[1]Sheet1!$A$2:$F$294,4,FALSE)</f>
        <v>0</v>
      </c>
      <c r="AJ21" s="14" t="str">
        <f>VLOOKUP(B21,[1]Sheet1!$A$2:$F$294,5,FALSE)</f>
        <v>无</v>
      </c>
    </row>
    <row r="22" s="2" customFormat="1" ht="14.25" spans="1:36">
      <c r="A22" s="11">
        <v>21</v>
      </c>
      <c r="B22" s="12">
        <v>22408000526</v>
      </c>
      <c r="C22" s="13" t="s">
        <v>171</v>
      </c>
      <c r="D22" s="14" t="s">
        <v>34</v>
      </c>
      <c r="E22" s="41" t="s">
        <v>172</v>
      </c>
      <c r="F22" s="14">
        <v>15932982061</v>
      </c>
      <c r="G22" s="15">
        <v>13755982806</v>
      </c>
      <c r="H22" s="15">
        <v>15179409422</v>
      </c>
      <c r="I22" s="14" t="s">
        <v>58</v>
      </c>
      <c r="J22" s="15">
        <v>2022080005</v>
      </c>
      <c r="K22" s="16" t="s">
        <v>151</v>
      </c>
      <c r="L22" s="14" t="s">
        <v>59</v>
      </c>
      <c r="M22" s="14" t="s">
        <v>152</v>
      </c>
      <c r="N22" s="14" t="s">
        <v>173</v>
      </c>
      <c r="O22" s="15">
        <v>2022</v>
      </c>
      <c r="P22" s="15" t="s">
        <v>41</v>
      </c>
      <c r="Q22" s="15" t="s">
        <v>174</v>
      </c>
      <c r="R22" s="15" t="s">
        <v>43</v>
      </c>
      <c r="S22" s="15" t="s">
        <v>175</v>
      </c>
      <c r="T22" s="15">
        <v>344500</v>
      </c>
      <c r="U22" s="15" t="s">
        <v>176</v>
      </c>
      <c r="V22" s="15" t="s">
        <v>58</v>
      </c>
      <c r="W22" s="15" t="s">
        <v>46</v>
      </c>
      <c r="X22" s="15" t="s">
        <v>74</v>
      </c>
      <c r="Y22" s="15" t="s">
        <v>48</v>
      </c>
      <c r="Z22" s="15" t="s">
        <v>49</v>
      </c>
      <c r="AA22" s="15" t="s">
        <v>50</v>
      </c>
      <c r="AB22" s="15" t="s">
        <v>67</v>
      </c>
      <c r="AC22" s="15" t="s">
        <v>52</v>
      </c>
      <c r="AD22" s="15" t="s">
        <v>53</v>
      </c>
      <c r="AE22" s="15" t="s">
        <v>54</v>
      </c>
      <c r="AF22" s="15" t="s">
        <v>55</v>
      </c>
      <c r="AG22" s="15"/>
      <c r="AH22" s="14" t="str">
        <f>VLOOKUP(B22,[1]Sheet1!$A$2:$F$294,6,FALSE)</f>
        <v>无</v>
      </c>
      <c r="AI22" s="14">
        <f>VLOOKUP(B22,[1]Sheet1!$A$2:$F$294,4,FALSE)</f>
        <v>0</v>
      </c>
      <c r="AJ22" s="14" t="str">
        <f>VLOOKUP(B22,[1]Sheet1!$A$2:$F$294,5,FALSE)</f>
        <v>无</v>
      </c>
    </row>
    <row r="23" s="2" customFormat="1" ht="14.25" spans="1:36">
      <c r="A23" s="11">
        <v>22</v>
      </c>
      <c r="B23" s="12">
        <v>22408000528</v>
      </c>
      <c r="C23" s="13" t="s">
        <v>177</v>
      </c>
      <c r="D23" s="14" t="s">
        <v>34</v>
      </c>
      <c r="E23" s="41" t="s">
        <v>178</v>
      </c>
      <c r="F23" s="14">
        <v>17121790196</v>
      </c>
      <c r="G23" s="15">
        <v>18032756099</v>
      </c>
      <c r="H23" s="15">
        <v>13603312569</v>
      </c>
      <c r="I23" s="14" t="s">
        <v>58</v>
      </c>
      <c r="J23" s="15">
        <v>2022080005</v>
      </c>
      <c r="K23" s="16" t="s">
        <v>151</v>
      </c>
      <c r="L23" s="14" t="s">
        <v>59</v>
      </c>
      <c r="M23" s="14" t="s">
        <v>152</v>
      </c>
      <c r="N23" s="14" t="s">
        <v>173</v>
      </c>
      <c r="O23" s="15">
        <v>2022</v>
      </c>
      <c r="P23" s="15" t="s">
        <v>41</v>
      </c>
      <c r="Q23" s="15" t="s">
        <v>179</v>
      </c>
      <c r="R23" s="15" t="s">
        <v>63</v>
      </c>
      <c r="S23" s="15" t="s">
        <v>180</v>
      </c>
      <c r="T23" s="15">
        <v>52360</v>
      </c>
      <c r="U23" s="15" t="s">
        <v>65</v>
      </c>
      <c r="V23" s="15" t="s">
        <v>58</v>
      </c>
      <c r="W23" s="15" t="s">
        <v>46</v>
      </c>
      <c r="X23" s="15" t="s">
        <v>74</v>
      </c>
      <c r="Y23" s="15" t="s">
        <v>48</v>
      </c>
      <c r="Z23" s="15" t="s">
        <v>49</v>
      </c>
      <c r="AA23" s="15" t="s">
        <v>50</v>
      </c>
      <c r="AB23" s="15" t="s">
        <v>67</v>
      </c>
      <c r="AC23" s="15" t="s">
        <v>52</v>
      </c>
      <c r="AD23" s="15" t="s">
        <v>53</v>
      </c>
      <c r="AE23" s="15" t="s">
        <v>54</v>
      </c>
      <c r="AF23" s="15" t="s">
        <v>55</v>
      </c>
      <c r="AG23" s="15"/>
      <c r="AH23" s="14" t="str">
        <f>VLOOKUP(B23,[1]Sheet1!$A$2:$F$294,6,FALSE)</f>
        <v>无</v>
      </c>
      <c r="AI23" s="14">
        <f>VLOOKUP(B23,[1]Sheet1!$A$2:$F$294,4,FALSE)</f>
        <v>0</v>
      </c>
      <c r="AJ23" s="14" t="str">
        <f>VLOOKUP(B23,[1]Sheet1!$A$2:$F$294,5,FALSE)</f>
        <v>无</v>
      </c>
    </row>
    <row r="24" s="2" customFormat="1" ht="14.25" spans="1:36">
      <c r="A24" s="11">
        <v>23</v>
      </c>
      <c r="B24" s="12">
        <v>22408000529</v>
      </c>
      <c r="C24" s="13" t="s">
        <v>181</v>
      </c>
      <c r="D24" s="14" t="s">
        <v>34</v>
      </c>
      <c r="E24" s="41" t="s">
        <v>182</v>
      </c>
      <c r="F24" s="14">
        <v>18673320169</v>
      </c>
      <c r="G24" s="15">
        <v>13647418890</v>
      </c>
      <c r="H24" s="15">
        <v>13548697212</v>
      </c>
      <c r="I24" s="14" t="s">
        <v>58</v>
      </c>
      <c r="J24" s="15">
        <v>2022080005</v>
      </c>
      <c r="K24" s="16" t="s">
        <v>151</v>
      </c>
      <c r="L24" s="14" t="s">
        <v>59</v>
      </c>
      <c r="M24" s="14" t="s">
        <v>152</v>
      </c>
      <c r="N24" s="14" t="s">
        <v>173</v>
      </c>
      <c r="O24" s="15">
        <v>2022</v>
      </c>
      <c r="P24" s="15" t="s">
        <v>41</v>
      </c>
      <c r="Q24" s="15" t="s">
        <v>183</v>
      </c>
      <c r="R24" s="15" t="s">
        <v>43</v>
      </c>
      <c r="S24" s="15" t="s">
        <v>184</v>
      </c>
      <c r="T24" s="15">
        <v>410000</v>
      </c>
      <c r="U24" s="15" t="s">
        <v>45</v>
      </c>
      <c r="V24" s="15" t="s">
        <v>58</v>
      </c>
      <c r="W24" s="15" t="s">
        <v>46</v>
      </c>
      <c r="X24" s="15" t="s">
        <v>74</v>
      </c>
      <c r="Y24" s="15" t="s">
        <v>47</v>
      </c>
      <c r="Z24" s="15" t="s">
        <v>49</v>
      </c>
      <c r="AA24" s="15" t="s">
        <v>50</v>
      </c>
      <c r="AB24" s="15" t="s">
        <v>67</v>
      </c>
      <c r="AC24" s="15" t="s">
        <v>52</v>
      </c>
      <c r="AD24" s="15" t="s">
        <v>53</v>
      </c>
      <c r="AE24" s="15" t="s">
        <v>54</v>
      </c>
      <c r="AF24" s="15" t="s">
        <v>55</v>
      </c>
      <c r="AG24" s="15"/>
      <c r="AH24" s="14" t="str">
        <f>VLOOKUP(B24,[1]Sheet1!$A$2:$F$294,6,FALSE)</f>
        <v>无</v>
      </c>
      <c r="AI24" s="14">
        <f>VLOOKUP(B24,[1]Sheet1!$A$2:$F$294,4,FALSE)</f>
        <v>0</v>
      </c>
      <c r="AJ24" s="14" t="str">
        <f>VLOOKUP(B24,[1]Sheet1!$A$2:$F$294,5,FALSE)</f>
        <v>无</v>
      </c>
    </row>
    <row r="25" s="2" customFormat="1" ht="14.25" spans="1:36">
      <c r="A25" s="11">
        <v>24</v>
      </c>
      <c r="B25" s="12">
        <v>22408000535</v>
      </c>
      <c r="C25" s="13" t="s">
        <v>185</v>
      </c>
      <c r="D25" s="14" t="s">
        <v>34</v>
      </c>
      <c r="E25" s="41" t="s">
        <v>186</v>
      </c>
      <c r="F25" s="14">
        <v>18891624282</v>
      </c>
      <c r="G25" s="15">
        <v>18700677926</v>
      </c>
      <c r="H25" s="15">
        <v>18700677929</v>
      </c>
      <c r="I25" s="14" t="s">
        <v>36</v>
      </c>
      <c r="J25" s="15">
        <v>2022080005</v>
      </c>
      <c r="K25" s="16" t="s">
        <v>151</v>
      </c>
      <c r="L25" s="14" t="s">
        <v>38</v>
      </c>
      <c r="M25" s="14" t="s">
        <v>39</v>
      </c>
      <c r="N25" s="14" t="s">
        <v>187</v>
      </c>
      <c r="O25" s="15">
        <v>2022</v>
      </c>
      <c r="P25" s="15" t="s">
        <v>41</v>
      </c>
      <c r="Q25" s="15" t="s">
        <v>188</v>
      </c>
      <c r="R25" s="15" t="s">
        <v>63</v>
      </c>
      <c r="S25" s="15" t="s">
        <v>189</v>
      </c>
      <c r="T25" s="15">
        <v>724400</v>
      </c>
      <c r="U25" s="15" t="s">
        <v>190</v>
      </c>
      <c r="V25" s="15" t="s">
        <v>36</v>
      </c>
      <c r="W25" s="15" t="s">
        <v>46</v>
      </c>
      <c r="X25" s="15" t="s">
        <v>74</v>
      </c>
      <c r="Y25" s="15" t="s">
        <v>88</v>
      </c>
      <c r="Z25" s="15" t="s">
        <v>49</v>
      </c>
      <c r="AA25" s="15" t="s">
        <v>50</v>
      </c>
      <c r="AB25" s="15" t="s">
        <v>67</v>
      </c>
      <c r="AC25" s="15" t="s">
        <v>101</v>
      </c>
      <c r="AD25" s="15" t="s">
        <v>53</v>
      </c>
      <c r="AE25" s="15" t="s">
        <v>54</v>
      </c>
      <c r="AF25" s="15" t="s">
        <v>55</v>
      </c>
      <c r="AG25" s="15"/>
      <c r="AH25" s="14" t="str">
        <f>VLOOKUP(B25,[1]Sheet1!$A$2:$F$294,6,FALSE)</f>
        <v>一般困难</v>
      </c>
      <c r="AI25" s="14">
        <f>VLOOKUP(B25,[1]Sheet1!$A$2:$F$294,4,FALSE)</f>
        <v>0</v>
      </c>
      <c r="AJ25" s="14" t="str">
        <f>VLOOKUP(B25,[1]Sheet1!$A$2:$F$294,5,FALSE)</f>
        <v>无</v>
      </c>
    </row>
    <row r="26" s="2" customFormat="1" ht="14.25" spans="1:36">
      <c r="A26" s="11">
        <v>25</v>
      </c>
      <c r="B26" s="12">
        <v>22408000536</v>
      </c>
      <c r="C26" s="13" t="s">
        <v>191</v>
      </c>
      <c r="D26" s="14" t="s">
        <v>34</v>
      </c>
      <c r="E26" s="41" t="s">
        <v>192</v>
      </c>
      <c r="F26" s="14">
        <v>18848718043</v>
      </c>
      <c r="G26" s="15">
        <v>13170596316</v>
      </c>
      <c r="H26" s="15">
        <v>15187676482</v>
      </c>
      <c r="I26" s="14" t="s">
        <v>58</v>
      </c>
      <c r="J26" s="15">
        <v>2022080005</v>
      </c>
      <c r="K26" s="16" t="s">
        <v>151</v>
      </c>
      <c r="L26" s="14" t="s">
        <v>59</v>
      </c>
      <c r="M26" s="14" t="s">
        <v>152</v>
      </c>
      <c r="N26" s="14" t="s">
        <v>193</v>
      </c>
      <c r="O26" s="15">
        <v>2022</v>
      </c>
      <c r="P26" s="15" t="s">
        <v>41</v>
      </c>
      <c r="Q26" s="15" t="s">
        <v>194</v>
      </c>
      <c r="R26" s="15" t="s">
        <v>63</v>
      </c>
      <c r="S26" s="15" t="s">
        <v>195</v>
      </c>
      <c r="T26" s="15">
        <v>663099</v>
      </c>
      <c r="U26" s="15" t="s">
        <v>196</v>
      </c>
      <c r="V26" s="15" t="s">
        <v>58</v>
      </c>
      <c r="W26" s="15" t="s">
        <v>46</v>
      </c>
      <c r="X26" s="15" t="s">
        <v>74</v>
      </c>
      <c r="Y26" s="15" t="s">
        <v>48</v>
      </c>
      <c r="Z26" s="15" t="s">
        <v>75</v>
      </c>
      <c r="AA26" s="15" t="s">
        <v>50</v>
      </c>
      <c r="AB26" s="15" t="s">
        <v>67</v>
      </c>
      <c r="AC26" s="15" t="s">
        <v>52</v>
      </c>
      <c r="AD26" s="15" t="s">
        <v>53</v>
      </c>
      <c r="AE26" s="15" t="s">
        <v>54</v>
      </c>
      <c r="AF26" s="15" t="s">
        <v>55</v>
      </c>
      <c r="AG26" s="15"/>
      <c r="AH26" s="14" t="str">
        <f>VLOOKUP(B26,[1]Sheet1!$A$2:$F$294,6,FALSE)</f>
        <v>无</v>
      </c>
      <c r="AI26" s="14">
        <f>VLOOKUP(B26,[1]Sheet1!$A$2:$F$294,4,FALSE)</f>
        <v>0</v>
      </c>
      <c r="AJ26" s="14" t="str">
        <f>VLOOKUP(B26,[1]Sheet1!$A$2:$F$294,5,FALSE)</f>
        <v>无</v>
      </c>
    </row>
    <row r="27" s="2" customFormat="1" ht="14.25" spans="1:36">
      <c r="A27" s="11">
        <v>26</v>
      </c>
      <c r="B27" s="12">
        <v>22408000540</v>
      </c>
      <c r="C27" s="13" t="s">
        <v>197</v>
      </c>
      <c r="D27" s="14" t="s">
        <v>34</v>
      </c>
      <c r="E27" s="41" t="s">
        <v>198</v>
      </c>
      <c r="F27" s="14">
        <v>15138642811</v>
      </c>
      <c r="G27" s="15">
        <v>13838950126</v>
      </c>
      <c r="H27" s="15">
        <v>13569272319</v>
      </c>
      <c r="I27" s="14" t="s">
        <v>58</v>
      </c>
      <c r="J27" s="15">
        <v>2022080005</v>
      </c>
      <c r="K27" s="16" t="s">
        <v>151</v>
      </c>
      <c r="L27" s="14" t="s">
        <v>59</v>
      </c>
      <c r="M27" s="14" t="s">
        <v>152</v>
      </c>
      <c r="N27" s="14" t="s">
        <v>199</v>
      </c>
      <c r="O27" s="15">
        <v>2022</v>
      </c>
      <c r="P27" s="15" t="s">
        <v>41</v>
      </c>
      <c r="Q27" s="15" t="s">
        <v>200</v>
      </c>
      <c r="R27" s="15" t="s">
        <v>63</v>
      </c>
      <c r="S27" s="15" t="s">
        <v>201</v>
      </c>
      <c r="T27" s="15">
        <v>474450</v>
      </c>
      <c r="U27" s="15" t="s">
        <v>202</v>
      </c>
      <c r="V27" s="15" t="s">
        <v>58</v>
      </c>
      <c r="W27" s="15" t="s">
        <v>46</v>
      </c>
      <c r="X27" s="15" t="s">
        <v>74</v>
      </c>
      <c r="Y27" s="15" t="s">
        <v>48</v>
      </c>
      <c r="Z27" s="15" t="s">
        <v>75</v>
      </c>
      <c r="AA27" s="15" t="s">
        <v>50</v>
      </c>
      <c r="AB27" s="15" t="s">
        <v>67</v>
      </c>
      <c r="AC27" s="15" t="s">
        <v>52</v>
      </c>
      <c r="AD27" s="15" t="s">
        <v>53</v>
      </c>
      <c r="AE27" s="15" t="s">
        <v>54</v>
      </c>
      <c r="AF27" s="15" t="s">
        <v>55</v>
      </c>
      <c r="AG27" s="15"/>
      <c r="AH27" s="14" t="str">
        <f>VLOOKUP(B27,[1]Sheet1!$A$2:$F$294,6,FALSE)</f>
        <v>无</v>
      </c>
      <c r="AI27" s="14">
        <f>VLOOKUP(B27,[1]Sheet1!$A$2:$F$294,4,FALSE)</f>
        <v>0</v>
      </c>
      <c r="AJ27" s="14" t="str">
        <f>VLOOKUP(B27,[1]Sheet1!$A$2:$F$294,5,FALSE)</f>
        <v>无</v>
      </c>
    </row>
    <row r="28" s="2" customFormat="1" ht="14.25" spans="1:36">
      <c r="A28" s="11">
        <v>27</v>
      </c>
      <c r="B28" s="12">
        <v>22408000906</v>
      </c>
      <c r="C28" s="13" t="s">
        <v>203</v>
      </c>
      <c r="D28" s="14" t="s">
        <v>34</v>
      </c>
      <c r="E28" s="41" t="s">
        <v>204</v>
      </c>
      <c r="F28" s="14">
        <v>17267645397</v>
      </c>
      <c r="G28" s="15">
        <v>13875313331</v>
      </c>
      <c r="H28" s="15">
        <v>18711733631</v>
      </c>
      <c r="I28" s="14" t="s">
        <v>58</v>
      </c>
      <c r="J28" s="15">
        <v>2022080009</v>
      </c>
      <c r="K28" s="16" t="s">
        <v>205</v>
      </c>
      <c r="L28" s="14" t="s">
        <v>59</v>
      </c>
      <c r="M28" s="14" t="s">
        <v>206</v>
      </c>
      <c r="N28" s="14" t="s">
        <v>207</v>
      </c>
      <c r="O28" s="15">
        <v>2022</v>
      </c>
      <c r="P28" s="15" t="s">
        <v>41</v>
      </c>
      <c r="Q28" s="15" t="s">
        <v>208</v>
      </c>
      <c r="R28" s="15" t="s">
        <v>63</v>
      </c>
      <c r="S28" s="15" t="s">
        <v>209</v>
      </c>
      <c r="T28" s="15">
        <v>413100</v>
      </c>
      <c r="U28" s="15" t="s">
        <v>45</v>
      </c>
      <c r="V28" s="15" t="s">
        <v>58</v>
      </c>
      <c r="W28" s="15" t="s">
        <v>46</v>
      </c>
      <c r="X28" s="15" t="s">
        <v>74</v>
      </c>
      <c r="Y28" s="15" t="s">
        <v>47</v>
      </c>
      <c r="Z28" s="15" t="s">
        <v>49</v>
      </c>
      <c r="AA28" s="15" t="s">
        <v>50</v>
      </c>
      <c r="AB28" s="15" t="s">
        <v>67</v>
      </c>
      <c r="AC28" s="15" t="s">
        <v>52</v>
      </c>
      <c r="AD28" s="15" t="s">
        <v>53</v>
      </c>
      <c r="AE28" s="15" t="s">
        <v>54</v>
      </c>
      <c r="AF28" s="15" t="s">
        <v>55</v>
      </c>
      <c r="AG28" s="15"/>
      <c r="AH28" s="14" t="str">
        <f>VLOOKUP(B28,[1]Sheet1!$A$2:$F$294,6,FALSE)</f>
        <v>无</v>
      </c>
      <c r="AI28" s="14">
        <f>VLOOKUP(B28,[1]Sheet1!$A$2:$F$294,4,FALSE)</f>
        <v>0</v>
      </c>
      <c r="AJ28" s="14" t="str">
        <f>VLOOKUP(B28,[1]Sheet1!$A$2:$F$294,5,FALSE)</f>
        <v>无</v>
      </c>
    </row>
    <row r="29" s="2" customFormat="1" ht="14.25" spans="1:36">
      <c r="A29" s="11">
        <v>28</v>
      </c>
      <c r="B29" s="12">
        <v>22408000909</v>
      </c>
      <c r="C29" s="13" t="s">
        <v>210</v>
      </c>
      <c r="D29" s="14" t="s">
        <v>34</v>
      </c>
      <c r="E29" s="41" t="s">
        <v>211</v>
      </c>
      <c r="F29" s="14">
        <v>15874196198</v>
      </c>
      <c r="G29" s="15">
        <v>13469453522</v>
      </c>
      <c r="H29" s="15">
        <v>13469064823</v>
      </c>
      <c r="I29" s="14" t="s">
        <v>36</v>
      </c>
      <c r="J29" s="15">
        <v>2022080009</v>
      </c>
      <c r="K29" s="16" t="s">
        <v>205</v>
      </c>
      <c r="L29" s="14" t="s">
        <v>38</v>
      </c>
      <c r="M29" s="14" t="s">
        <v>39</v>
      </c>
      <c r="N29" s="14" t="s">
        <v>212</v>
      </c>
      <c r="O29" s="15">
        <v>2022</v>
      </c>
      <c r="P29" s="15" t="s">
        <v>41</v>
      </c>
      <c r="Q29" s="15" t="s">
        <v>213</v>
      </c>
      <c r="R29" s="15" t="s">
        <v>63</v>
      </c>
      <c r="S29" s="15" t="s">
        <v>214</v>
      </c>
      <c r="T29" s="15">
        <v>410027</v>
      </c>
      <c r="U29" s="15" t="s">
        <v>45</v>
      </c>
      <c r="V29" s="15" t="s">
        <v>36</v>
      </c>
      <c r="W29" s="15" t="s">
        <v>46</v>
      </c>
      <c r="X29" s="15" t="s">
        <v>74</v>
      </c>
      <c r="Y29" s="15" t="s">
        <v>47</v>
      </c>
      <c r="Z29" s="15" t="s">
        <v>75</v>
      </c>
      <c r="AA29" s="15" t="s">
        <v>50</v>
      </c>
      <c r="AB29" s="15" t="s">
        <v>67</v>
      </c>
      <c r="AC29" s="15" t="s">
        <v>52</v>
      </c>
      <c r="AD29" s="15" t="s">
        <v>53</v>
      </c>
      <c r="AE29" s="15" t="s">
        <v>54</v>
      </c>
      <c r="AF29" s="15" t="s">
        <v>55</v>
      </c>
      <c r="AG29" s="15"/>
      <c r="AH29" s="14" t="str">
        <f>VLOOKUP(B29,[1]Sheet1!$A$2:$F$294,6,FALSE)</f>
        <v>无</v>
      </c>
      <c r="AI29" s="14">
        <f>VLOOKUP(B29,[1]Sheet1!$A$2:$F$294,4,FALSE)</f>
        <v>0</v>
      </c>
      <c r="AJ29" s="14" t="str">
        <f>VLOOKUP(B29,[1]Sheet1!$A$2:$F$294,5,FALSE)</f>
        <v>无</v>
      </c>
    </row>
    <row r="30" s="2" customFormat="1" ht="14.25" spans="1:36">
      <c r="A30" s="11">
        <v>29</v>
      </c>
      <c r="B30" s="12">
        <v>22408000911</v>
      </c>
      <c r="C30" s="13" t="s">
        <v>215</v>
      </c>
      <c r="D30" s="14" t="s">
        <v>34</v>
      </c>
      <c r="E30" s="41" t="s">
        <v>216</v>
      </c>
      <c r="F30" s="14">
        <v>18237702424</v>
      </c>
      <c r="G30" s="15">
        <v>13037615729</v>
      </c>
      <c r="H30" s="15">
        <v>15539973148</v>
      </c>
      <c r="I30" s="14" t="s">
        <v>36</v>
      </c>
      <c r="J30" s="15">
        <v>2022080009</v>
      </c>
      <c r="K30" s="16" t="s">
        <v>205</v>
      </c>
      <c r="L30" s="14" t="s">
        <v>38</v>
      </c>
      <c r="M30" s="14" t="s">
        <v>39</v>
      </c>
      <c r="N30" s="14" t="s">
        <v>212</v>
      </c>
      <c r="O30" s="15">
        <v>2022</v>
      </c>
      <c r="P30" s="15" t="s">
        <v>41</v>
      </c>
      <c r="Q30" s="15" t="s">
        <v>217</v>
      </c>
      <c r="R30" s="15" t="s">
        <v>63</v>
      </c>
      <c r="S30" s="15" t="s">
        <v>218</v>
      </c>
      <c r="T30" s="15">
        <v>473300</v>
      </c>
      <c r="U30" s="15" t="s">
        <v>202</v>
      </c>
      <c r="V30" s="15" t="s">
        <v>36</v>
      </c>
      <c r="W30" s="15" t="s">
        <v>46</v>
      </c>
      <c r="X30" s="15" t="s">
        <v>47</v>
      </c>
      <c r="Y30" s="15" t="s">
        <v>132</v>
      </c>
      <c r="Z30" s="15" t="s">
        <v>49</v>
      </c>
      <c r="AA30" s="15" t="s">
        <v>50</v>
      </c>
      <c r="AB30" s="15" t="s">
        <v>67</v>
      </c>
      <c r="AC30" s="15" t="s">
        <v>52</v>
      </c>
      <c r="AD30" s="15" t="s">
        <v>53</v>
      </c>
      <c r="AE30" s="15" t="s">
        <v>54</v>
      </c>
      <c r="AF30" s="15" t="s">
        <v>55</v>
      </c>
      <c r="AG30" s="15"/>
      <c r="AH30" s="14" t="str">
        <f>VLOOKUP(B30,[1]Sheet1!$A$2:$F$294,6,FALSE)</f>
        <v>特别困难</v>
      </c>
      <c r="AI30" s="14">
        <f>VLOOKUP(B30,[1]Sheet1!$A$2:$F$294,4,FALSE)</f>
        <v>0</v>
      </c>
      <c r="AJ30" s="14" t="str">
        <f>VLOOKUP(B30,[1]Sheet1!$A$2:$F$294,5,FALSE)</f>
        <v>无</v>
      </c>
    </row>
    <row r="31" s="2" customFormat="1" ht="14.25" spans="1:36">
      <c r="A31" s="11">
        <v>30</v>
      </c>
      <c r="B31" s="12">
        <v>22408000913</v>
      </c>
      <c r="C31" s="13" t="s">
        <v>219</v>
      </c>
      <c r="D31" s="14" t="s">
        <v>34</v>
      </c>
      <c r="E31" s="41" t="s">
        <v>220</v>
      </c>
      <c r="F31" s="14">
        <v>19892048529</v>
      </c>
      <c r="G31" s="15">
        <v>13528701391</v>
      </c>
      <c r="H31" s="15">
        <v>13618443225</v>
      </c>
      <c r="I31" s="14" t="s">
        <v>58</v>
      </c>
      <c r="J31" s="15">
        <v>2022080009</v>
      </c>
      <c r="K31" s="16" t="s">
        <v>205</v>
      </c>
      <c r="L31" s="14" t="s">
        <v>59</v>
      </c>
      <c r="M31" s="14" t="s">
        <v>206</v>
      </c>
      <c r="N31" s="14" t="s">
        <v>221</v>
      </c>
      <c r="O31" s="15">
        <v>2022</v>
      </c>
      <c r="P31" s="15" t="s">
        <v>41</v>
      </c>
      <c r="Q31" s="15" t="s">
        <v>222</v>
      </c>
      <c r="R31" s="15" t="s">
        <v>63</v>
      </c>
      <c r="S31" s="15" t="s">
        <v>223</v>
      </c>
      <c r="T31" s="15">
        <v>421636</v>
      </c>
      <c r="U31" s="15" t="s">
        <v>45</v>
      </c>
      <c r="V31" s="15" t="s">
        <v>58</v>
      </c>
      <c r="W31" s="15" t="s">
        <v>46</v>
      </c>
      <c r="X31" s="15" t="s">
        <v>47</v>
      </c>
      <c r="Y31" s="15" t="s">
        <v>132</v>
      </c>
      <c r="Z31" s="15" t="s">
        <v>49</v>
      </c>
      <c r="AA31" s="15" t="s">
        <v>160</v>
      </c>
      <c r="AB31" s="15" t="s">
        <v>67</v>
      </c>
      <c r="AC31" s="15" t="s">
        <v>52</v>
      </c>
      <c r="AD31" s="15" t="s">
        <v>53</v>
      </c>
      <c r="AE31" s="15" t="s">
        <v>54</v>
      </c>
      <c r="AF31" s="15" t="s">
        <v>55</v>
      </c>
      <c r="AG31" s="15"/>
      <c r="AH31" s="14" t="str">
        <f>VLOOKUP(B31,[1]Sheet1!$A$2:$F$294,6,FALSE)</f>
        <v>一般困难</v>
      </c>
      <c r="AI31" s="14">
        <f>VLOOKUP(B31,[1]Sheet1!$A$2:$F$294,4,FALSE)</f>
        <v>0</v>
      </c>
      <c r="AJ31" s="14" t="str">
        <f>VLOOKUP(B31,[1]Sheet1!$A$2:$F$294,5,FALSE)</f>
        <v>无</v>
      </c>
    </row>
    <row r="32" s="2" customFormat="1" ht="14.25" spans="1:36">
      <c r="A32" s="11">
        <v>31</v>
      </c>
      <c r="B32" s="12">
        <v>22408000927</v>
      </c>
      <c r="C32" s="13" t="s">
        <v>224</v>
      </c>
      <c r="D32" s="14" t="s">
        <v>34</v>
      </c>
      <c r="E32" s="41" t="s">
        <v>225</v>
      </c>
      <c r="F32" s="14">
        <v>17267645918</v>
      </c>
      <c r="G32" s="15">
        <v>15097956542</v>
      </c>
      <c r="H32" s="15">
        <v>15630928352</v>
      </c>
      <c r="I32" s="14" t="s">
        <v>58</v>
      </c>
      <c r="J32" s="15">
        <v>2022080009</v>
      </c>
      <c r="K32" s="16" t="s">
        <v>205</v>
      </c>
      <c r="L32" s="14" t="s">
        <v>59</v>
      </c>
      <c r="M32" s="14" t="s">
        <v>206</v>
      </c>
      <c r="N32" s="14" t="s">
        <v>226</v>
      </c>
      <c r="O32" s="15">
        <v>2022</v>
      </c>
      <c r="P32" s="15" t="s">
        <v>41</v>
      </c>
      <c r="Q32" s="15" t="s">
        <v>227</v>
      </c>
      <c r="R32" s="15" t="s">
        <v>43</v>
      </c>
      <c r="S32" s="15" t="s">
        <v>228</v>
      </c>
      <c r="T32" s="15">
        <v>55750</v>
      </c>
      <c r="U32" s="15" t="s">
        <v>65</v>
      </c>
      <c r="V32" s="15" t="s">
        <v>58</v>
      </c>
      <c r="W32" s="15" t="s">
        <v>46</v>
      </c>
      <c r="X32" s="15" t="s">
        <v>74</v>
      </c>
      <c r="Y32" s="15" t="s">
        <v>132</v>
      </c>
      <c r="Z32" s="15" t="s">
        <v>49</v>
      </c>
      <c r="AA32" s="15" t="s">
        <v>50</v>
      </c>
      <c r="AB32" s="15" t="s">
        <v>67</v>
      </c>
      <c r="AC32" s="15" t="s">
        <v>52</v>
      </c>
      <c r="AD32" s="15" t="s">
        <v>53</v>
      </c>
      <c r="AE32" s="15" t="s">
        <v>54</v>
      </c>
      <c r="AF32" s="15" t="s">
        <v>55</v>
      </c>
      <c r="AG32" s="15"/>
      <c r="AH32" s="14" t="str">
        <f>VLOOKUP(B32,[1]Sheet1!$A$2:$F$294,6,FALSE)</f>
        <v>无</v>
      </c>
      <c r="AI32" s="14">
        <f>VLOOKUP(B32,[1]Sheet1!$A$2:$F$294,4,FALSE)</f>
        <v>0</v>
      </c>
      <c r="AJ32" s="14" t="str">
        <f>VLOOKUP(B32,[1]Sheet1!$A$2:$F$294,5,FALSE)</f>
        <v>无</v>
      </c>
    </row>
    <row r="33" s="2" customFormat="1" ht="14.25" spans="1:36">
      <c r="A33" s="11">
        <v>32</v>
      </c>
      <c r="B33" s="12">
        <v>22408000928</v>
      </c>
      <c r="C33" s="13" t="s">
        <v>229</v>
      </c>
      <c r="D33" s="14" t="s">
        <v>34</v>
      </c>
      <c r="E33" s="41" t="s">
        <v>230</v>
      </c>
      <c r="F33" s="14">
        <v>13513712024</v>
      </c>
      <c r="G33" s="15">
        <v>18903716891</v>
      </c>
      <c r="H33" s="15">
        <v>18838235179</v>
      </c>
      <c r="I33" s="14" t="s">
        <v>58</v>
      </c>
      <c r="J33" s="15">
        <v>2022080009</v>
      </c>
      <c r="K33" s="16" t="s">
        <v>205</v>
      </c>
      <c r="L33" s="14" t="s">
        <v>59</v>
      </c>
      <c r="M33" s="14" t="s">
        <v>206</v>
      </c>
      <c r="N33" s="14" t="s">
        <v>226</v>
      </c>
      <c r="O33" s="15">
        <v>2022</v>
      </c>
      <c r="P33" s="15" t="s">
        <v>41</v>
      </c>
      <c r="Q33" s="15" t="s">
        <v>231</v>
      </c>
      <c r="R33" s="15" t="s">
        <v>63</v>
      </c>
      <c r="S33" s="15" t="s">
        <v>232</v>
      </c>
      <c r="T33" s="15">
        <v>450000</v>
      </c>
      <c r="U33" s="15" t="s">
        <v>202</v>
      </c>
      <c r="V33" s="15" t="s">
        <v>58</v>
      </c>
      <c r="W33" s="15" t="s">
        <v>46</v>
      </c>
      <c r="X33" s="15" t="s">
        <v>74</v>
      </c>
      <c r="Y33" s="15" t="s">
        <v>136</v>
      </c>
      <c r="Z33" s="15" t="s">
        <v>75</v>
      </c>
      <c r="AA33" s="15" t="s">
        <v>50</v>
      </c>
      <c r="AB33" s="15" t="s">
        <v>67</v>
      </c>
      <c r="AC33" s="15" t="s">
        <v>52</v>
      </c>
      <c r="AD33" s="15" t="s">
        <v>53</v>
      </c>
      <c r="AE33" s="15" t="s">
        <v>54</v>
      </c>
      <c r="AF33" s="15" t="s">
        <v>55</v>
      </c>
      <c r="AG33" s="15"/>
      <c r="AH33" s="14" t="str">
        <f>VLOOKUP(B33,[1]Sheet1!$A$2:$F$294,6,FALSE)</f>
        <v>无</v>
      </c>
      <c r="AI33" s="14">
        <f>VLOOKUP(B33,[1]Sheet1!$A$2:$F$294,4,FALSE)</f>
        <v>0</v>
      </c>
      <c r="AJ33" s="14" t="str">
        <f>VLOOKUP(B33,[1]Sheet1!$A$2:$F$294,5,FALSE)</f>
        <v>无</v>
      </c>
    </row>
    <row r="34" s="2" customFormat="1" ht="14.25" spans="1:36">
      <c r="A34" s="11">
        <v>33</v>
      </c>
      <c r="B34" s="12">
        <v>22408000930</v>
      </c>
      <c r="C34" s="13" t="s">
        <v>233</v>
      </c>
      <c r="D34" s="14" t="s">
        <v>34</v>
      </c>
      <c r="E34" s="41" t="s">
        <v>234</v>
      </c>
      <c r="F34" s="14">
        <v>17870697226</v>
      </c>
      <c r="G34" s="15">
        <v>13528002580</v>
      </c>
      <c r="H34" s="15">
        <v>18270082589</v>
      </c>
      <c r="I34" s="14" t="s">
        <v>58</v>
      </c>
      <c r="J34" s="15">
        <v>2022080009</v>
      </c>
      <c r="K34" s="16" t="s">
        <v>205</v>
      </c>
      <c r="L34" s="14" t="s">
        <v>59</v>
      </c>
      <c r="M34" s="14" t="s">
        <v>206</v>
      </c>
      <c r="N34" s="14" t="s">
        <v>226</v>
      </c>
      <c r="O34" s="15">
        <v>2022</v>
      </c>
      <c r="P34" s="15" t="s">
        <v>41</v>
      </c>
      <c r="Q34" s="15" t="s">
        <v>235</v>
      </c>
      <c r="R34" s="15" t="s">
        <v>63</v>
      </c>
      <c r="S34" s="15" t="s">
        <v>236</v>
      </c>
      <c r="T34" s="15">
        <v>342400</v>
      </c>
      <c r="U34" s="15" t="s">
        <v>176</v>
      </c>
      <c r="V34" s="15" t="s">
        <v>58</v>
      </c>
      <c r="W34" s="15" t="s">
        <v>46</v>
      </c>
      <c r="X34" s="15" t="s">
        <v>74</v>
      </c>
      <c r="Y34" s="15" t="s">
        <v>136</v>
      </c>
      <c r="Z34" s="15" t="s">
        <v>49</v>
      </c>
      <c r="AA34" s="15" t="s">
        <v>50</v>
      </c>
      <c r="AB34" s="15" t="s">
        <v>67</v>
      </c>
      <c r="AC34" s="15" t="s">
        <v>52</v>
      </c>
      <c r="AD34" s="15" t="s">
        <v>53</v>
      </c>
      <c r="AE34" s="15" t="s">
        <v>54</v>
      </c>
      <c r="AF34" s="15" t="s">
        <v>55</v>
      </c>
      <c r="AG34" s="15"/>
      <c r="AH34" s="14" t="str">
        <f>VLOOKUP(B34,[1]Sheet1!$A$2:$F$294,6,FALSE)</f>
        <v>无</v>
      </c>
      <c r="AI34" s="14">
        <f>VLOOKUP(B34,[1]Sheet1!$A$2:$F$294,4,FALSE)</f>
        <v>0</v>
      </c>
      <c r="AJ34" s="14" t="str">
        <f>VLOOKUP(B34,[1]Sheet1!$A$2:$F$294,5,FALSE)</f>
        <v>无</v>
      </c>
    </row>
    <row r="35" s="2" customFormat="1" ht="14.25" spans="1:36">
      <c r="A35" s="11">
        <v>34</v>
      </c>
      <c r="B35" s="12">
        <v>22408000933</v>
      </c>
      <c r="C35" s="13" t="s">
        <v>237</v>
      </c>
      <c r="D35" s="14" t="s">
        <v>34</v>
      </c>
      <c r="E35" s="41" t="s">
        <v>238</v>
      </c>
      <c r="F35" s="14">
        <v>13277618361</v>
      </c>
      <c r="G35" s="15" t="s">
        <v>239</v>
      </c>
      <c r="H35" s="15">
        <v>13487016336</v>
      </c>
      <c r="I35" s="14" t="s">
        <v>36</v>
      </c>
      <c r="J35" s="15">
        <v>2022080009</v>
      </c>
      <c r="K35" s="16" t="s">
        <v>205</v>
      </c>
      <c r="L35" s="14" t="s">
        <v>38</v>
      </c>
      <c r="M35" s="14" t="s">
        <v>39</v>
      </c>
      <c r="N35" s="14" t="s">
        <v>240</v>
      </c>
      <c r="O35" s="15">
        <v>2022</v>
      </c>
      <c r="P35" s="15" t="s">
        <v>41</v>
      </c>
      <c r="Q35" s="15" t="s">
        <v>241</v>
      </c>
      <c r="R35" s="15" t="s">
        <v>63</v>
      </c>
      <c r="S35" s="15" t="s">
        <v>242</v>
      </c>
      <c r="T35" s="15">
        <v>441300</v>
      </c>
      <c r="U35" s="15" t="s">
        <v>243</v>
      </c>
      <c r="V35" s="15" t="s">
        <v>36</v>
      </c>
      <c r="W35" s="15" t="s">
        <v>46</v>
      </c>
      <c r="X35" s="15" t="s">
        <v>47</v>
      </c>
      <c r="Y35" s="15" t="s">
        <v>132</v>
      </c>
      <c r="Z35" s="15" t="s">
        <v>49</v>
      </c>
      <c r="AA35" s="15" t="s">
        <v>100</v>
      </c>
      <c r="AB35" s="15" t="s">
        <v>67</v>
      </c>
      <c r="AC35" s="15" t="s">
        <v>52</v>
      </c>
      <c r="AD35" s="15" t="s">
        <v>53</v>
      </c>
      <c r="AE35" s="15" t="s">
        <v>54</v>
      </c>
      <c r="AF35" s="15" t="s">
        <v>55</v>
      </c>
      <c r="AG35" s="15" t="s">
        <v>244</v>
      </c>
      <c r="AH35" s="14" t="str">
        <f>VLOOKUP(B35,[1]Sheet1!$A$2:$F$294,6,FALSE)</f>
        <v>特别困难</v>
      </c>
      <c r="AI35" s="14">
        <f>VLOOKUP(B35,[1]Sheet1!$A$2:$F$294,4,FALSE)</f>
        <v>3</v>
      </c>
      <c r="AJ35" s="14" t="str">
        <f>VLOOKUP(B35,[1]Sheet1!$A$2:$F$294,5,FALSE)</f>
        <v>Java web程序设计,计算机操作系统,软件工程</v>
      </c>
    </row>
    <row r="36" s="2" customFormat="1" ht="14.25" spans="1:36">
      <c r="A36" s="11">
        <v>35</v>
      </c>
      <c r="B36" s="12">
        <v>22408000934</v>
      </c>
      <c r="C36" s="13" t="s">
        <v>245</v>
      </c>
      <c r="D36" s="14" t="s">
        <v>34</v>
      </c>
      <c r="E36" s="41" t="s">
        <v>246</v>
      </c>
      <c r="F36" s="14">
        <v>17267619115</v>
      </c>
      <c r="G36" s="15">
        <v>18711960276</v>
      </c>
      <c r="H36" s="15" t="s">
        <v>239</v>
      </c>
      <c r="I36" s="14" t="s">
        <v>58</v>
      </c>
      <c r="J36" s="15">
        <v>2022080009</v>
      </c>
      <c r="K36" s="16" t="s">
        <v>205</v>
      </c>
      <c r="L36" s="14" t="s">
        <v>59</v>
      </c>
      <c r="M36" s="14" t="s">
        <v>206</v>
      </c>
      <c r="N36" s="14" t="s">
        <v>247</v>
      </c>
      <c r="O36" s="15">
        <v>2022</v>
      </c>
      <c r="P36" s="15" t="s">
        <v>41</v>
      </c>
      <c r="Q36" s="15" t="s">
        <v>194</v>
      </c>
      <c r="R36" s="15" t="s">
        <v>63</v>
      </c>
      <c r="S36" s="15" t="s">
        <v>248</v>
      </c>
      <c r="T36" s="15">
        <v>422815</v>
      </c>
      <c r="U36" s="15" t="s">
        <v>45</v>
      </c>
      <c r="V36" s="15" t="s">
        <v>58</v>
      </c>
      <c r="W36" s="15" t="s">
        <v>46</v>
      </c>
      <c r="X36" s="15" t="s">
        <v>74</v>
      </c>
      <c r="Y36" s="15" t="s">
        <v>132</v>
      </c>
      <c r="Z36" s="15" t="s">
        <v>49</v>
      </c>
      <c r="AA36" s="15" t="s">
        <v>50</v>
      </c>
      <c r="AB36" s="15" t="s">
        <v>67</v>
      </c>
      <c r="AC36" s="15" t="s">
        <v>52</v>
      </c>
      <c r="AD36" s="15" t="s">
        <v>53</v>
      </c>
      <c r="AE36" s="15" t="s">
        <v>54</v>
      </c>
      <c r="AF36" s="15" t="s">
        <v>55</v>
      </c>
      <c r="AG36" s="15" t="s">
        <v>249</v>
      </c>
      <c r="AH36" s="14" t="str">
        <f>VLOOKUP(B36,[1]Sheet1!$A$2:$F$294,6,FALSE)</f>
        <v>无</v>
      </c>
      <c r="AI36" s="14">
        <f>VLOOKUP(B36,[1]Sheet1!$A$2:$F$294,4,FALSE)</f>
        <v>2</v>
      </c>
      <c r="AJ36" s="14" t="str">
        <f>VLOOKUP(B36,[1]Sheet1!$A$2:$F$294,5,FALSE)</f>
        <v>软件工程,面向对象程序设计</v>
      </c>
    </row>
    <row r="37" s="2" customFormat="1" ht="14.25" spans="1:36">
      <c r="A37" s="11">
        <v>36</v>
      </c>
      <c r="B37" s="12">
        <v>22408000607</v>
      </c>
      <c r="C37" s="13" t="s">
        <v>250</v>
      </c>
      <c r="D37" s="14" t="s">
        <v>251</v>
      </c>
      <c r="E37" s="41" t="s">
        <v>252</v>
      </c>
      <c r="F37" s="14">
        <v>18975051169</v>
      </c>
      <c r="G37" s="15">
        <v>18692116335</v>
      </c>
      <c r="H37" s="15">
        <v>13087301663</v>
      </c>
      <c r="I37" s="14" t="s">
        <v>58</v>
      </c>
      <c r="J37" s="15">
        <v>2022080006</v>
      </c>
      <c r="K37" s="16" t="s">
        <v>253</v>
      </c>
      <c r="L37" s="14" t="s">
        <v>59</v>
      </c>
      <c r="M37" s="14" t="s">
        <v>206</v>
      </c>
      <c r="N37" s="14" t="s">
        <v>254</v>
      </c>
      <c r="O37" s="15">
        <v>2022</v>
      </c>
      <c r="P37" s="15" t="s">
        <v>41</v>
      </c>
      <c r="Q37" s="15" t="s">
        <v>255</v>
      </c>
      <c r="R37" s="15" t="s">
        <v>63</v>
      </c>
      <c r="S37" s="15" t="s">
        <v>256</v>
      </c>
      <c r="T37" s="15">
        <v>414100</v>
      </c>
      <c r="U37" s="15" t="s">
        <v>45</v>
      </c>
      <c r="V37" s="15" t="s">
        <v>58</v>
      </c>
      <c r="W37" s="15" t="s">
        <v>41</v>
      </c>
      <c r="X37" s="15" t="s">
        <v>74</v>
      </c>
      <c r="Y37" s="15" t="s">
        <v>257</v>
      </c>
      <c r="Z37" s="15" t="s">
        <v>49</v>
      </c>
      <c r="AA37" s="15" t="s">
        <v>50</v>
      </c>
      <c r="AB37" s="15" t="s">
        <v>67</v>
      </c>
      <c r="AC37" s="15" t="s">
        <v>52</v>
      </c>
      <c r="AD37" s="15" t="s">
        <v>53</v>
      </c>
      <c r="AE37" s="15" t="s">
        <v>54</v>
      </c>
      <c r="AF37" s="15" t="s">
        <v>55</v>
      </c>
      <c r="AG37" s="15"/>
      <c r="AH37" s="14" t="str">
        <f>VLOOKUP(B37,[1]Sheet1!$A$2:$F$294,6,FALSE)</f>
        <v>无</v>
      </c>
      <c r="AI37" s="14">
        <f>VLOOKUP(B37,[1]Sheet1!$A$2:$F$294,4,FALSE)</f>
        <v>0</v>
      </c>
      <c r="AJ37" s="14" t="str">
        <f>VLOOKUP(B37,[1]Sheet1!$A$2:$F$294,5,FALSE)</f>
        <v>无</v>
      </c>
    </row>
    <row r="38" s="2" customFormat="1" ht="14.25" spans="1:36">
      <c r="A38" s="11">
        <v>37</v>
      </c>
      <c r="B38" s="12">
        <v>22408000617</v>
      </c>
      <c r="C38" s="13" t="s">
        <v>258</v>
      </c>
      <c r="D38" s="14" t="s">
        <v>251</v>
      </c>
      <c r="E38" s="41" t="s">
        <v>259</v>
      </c>
      <c r="F38" s="14">
        <v>13675961709</v>
      </c>
      <c r="G38" s="15">
        <v>13599253113</v>
      </c>
      <c r="H38" s="15">
        <v>18859943113</v>
      </c>
      <c r="I38" s="14" t="s">
        <v>58</v>
      </c>
      <c r="J38" s="15">
        <v>2022080006</v>
      </c>
      <c r="K38" s="16" t="s">
        <v>253</v>
      </c>
      <c r="L38" s="14" t="s">
        <v>59</v>
      </c>
      <c r="M38" s="14" t="s">
        <v>206</v>
      </c>
      <c r="N38" s="14" t="s">
        <v>260</v>
      </c>
      <c r="O38" s="15">
        <v>2022</v>
      </c>
      <c r="P38" s="15" t="s">
        <v>41</v>
      </c>
      <c r="Q38" s="15" t="s">
        <v>261</v>
      </c>
      <c r="R38" s="15" t="s">
        <v>43</v>
      </c>
      <c r="S38" s="15" t="s">
        <v>262</v>
      </c>
      <c r="T38" s="15">
        <v>362700</v>
      </c>
      <c r="U38" s="15" t="s">
        <v>82</v>
      </c>
      <c r="V38" s="15" t="s">
        <v>58</v>
      </c>
      <c r="W38" s="15" t="s">
        <v>41</v>
      </c>
      <c r="X38" s="15" t="s">
        <v>74</v>
      </c>
      <c r="Y38" s="15" t="s">
        <v>47</v>
      </c>
      <c r="Z38" s="15" t="s">
        <v>49</v>
      </c>
      <c r="AA38" s="15" t="s">
        <v>50</v>
      </c>
      <c r="AB38" s="15" t="s">
        <v>67</v>
      </c>
      <c r="AC38" s="15" t="s">
        <v>52</v>
      </c>
      <c r="AD38" s="15" t="s">
        <v>53</v>
      </c>
      <c r="AE38" s="15" t="s">
        <v>54</v>
      </c>
      <c r="AF38" s="15" t="s">
        <v>55</v>
      </c>
      <c r="AG38" s="15"/>
      <c r="AH38" s="14" t="str">
        <f>VLOOKUP(B38,[1]Sheet1!$A$2:$F$294,6,FALSE)</f>
        <v>无</v>
      </c>
      <c r="AI38" s="14">
        <f>VLOOKUP(B38,[1]Sheet1!$A$2:$F$294,4,FALSE)</f>
        <v>0</v>
      </c>
      <c r="AJ38" s="14" t="str">
        <f>VLOOKUP(B38,[1]Sheet1!$A$2:$F$294,5,FALSE)</f>
        <v>无</v>
      </c>
    </row>
    <row r="39" s="2" customFormat="1" ht="14.25" spans="1:36">
      <c r="A39" s="11">
        <v>38</v>
      </c>
      <c r="B39" s="12">
        <v>22408000618</v>
      </c>
      <c r="C39" s="13" t="s">
        <v>263</v>
      </c>
      <c r="D39" s="14" t="s">
        <v>251</v>
      </c>
      <c r="E39" s="15" t="s">
        <v>264</v>
      </c>
      <c r="F39" s="14">
        <v>15673580492</v>
      </c>
      <c r="G39" s="15">
        <v>13117593529</v>
      </c>
      <c r="H39" s="15">
        <v>13170396875</v>
      </c>
      <c r="I39" s="14" t="s">
        <v>58</v>
      </c>
      <c r="J39" s="15">
        <v>2022080006</v>
      </c>
      <c r="K39" s="16" t="s">
        <v>253</v>
      </c>
      <c r="L39" s="14" t="s">
        <v>59</v>
      </c>
      <c r="M39" s="14" t="s">
        <v>206</v>
      </c>
      <c r="N39" s="14" t="s">
        <v>260</v>
      </c>
      <c r="O39" s="15">
        <v>2022</v>
      </c>
      <c r="P39" s="15" t="s">
        <v>41</v>
      </c>
      <c r="Q39" s="15" t="s">
        <v>194</v>
      </c>
      <c r="R39" s="15" t="s">
        <v>43</v>
      </c>
      <c r="S39" s="15" t="s">
        <v>265</v>
      </c>
      <c r="T39" s="15">
        <v>422114</v>
      </c>
      <c r="U39" s="15" t="s">
        <v>45</v>
      </c>
      <c r="V39" s="15" t="s">
        <v>58</v>
      </c>
      <c r="W39" s="15" t="s">
        <v>41</v>
      </c>
      <c r="X39" s="15" t="s">
        <v>74</v>
      </c>
      <c r="Y39" s="15" t="s">
        <v>266</v>
      </c>
      <c r="Z39" s="15" t="s">
        <v>49</v>
      </c>
      <c r="AA39" s="15" t="s">
        <v>50</v>
      </c>
      <c r="AB39" s="15" t="s">
        <v>67</v>
      </c>
      <c r="AC39" s="15" t="s">
        <v>52</v>
      </c>
      <c r="AD39" s="15" t="s">
        <v>53</v>
      </c>
      <c r="AE39" s="15" t="s">
        <v>54</v>
      </c>
      <c r="AF39" s="15" t="s">
        <v>55</v>
      </c>
      <c r="AG39" s="15"/>
      <c r="AH39" s="14" t="str">
        <f>VLOOKUP(B39,[1]Sheet1!$A$2:$F$294,6,FALSE)</f>
        <v>无</v>
      </c>
      <c r="AI39" s="14">
        <f>VLOOKUP(B39,[1]Sheet1!$A$2:$F$294,4,FALSE)</f>
        <v>0</v>
      </c>
      <c r="AJ39" s="14" t="str">
        <f>VLOOKUP(B39,[1]Sheet1!$A$2:$F$294,5,FALSE)</f>
        <v>无</v>
      </c>
    </row>
    <row r="40" s="2" customFormat="1" ht="14.25" spans="1:36">
      <c r="A40" s="11">
        <v>39</v>
      </c>
      <c r="B40" s="12">
        <v>22408000620</v>
      </c>
      <c r="C40" s="13" t="s">
        <v>267</v>
      </c>
      <c r="D40" s="14" t="s">
        <v>251</v>
      </c>
      <c r="E40" s="41" t="s">
        <v>268</v>
      </c>
      <c r="F40" s="14">
        <v>13762881086</v>
      </c>
      <c r="G40" s="15">
        <v>13874278266</v>
      </c>
      <c r="H40" s="15">
        <v>18773922452</v>
      </c>
      <c r="I40" s="14" t="s">
        <v>58</v>
      </c>
      <c r="J40" s="15">
        <v>2022080006</v>
      </c>
      <c r="K40" s="16" t="s">
        <v>253</v>
      </c>
      <c r="L40" s="14" t="s">
        <v>59</v>
      </c>
      <c r="M40" s="14" t="s">
        <v>206</v>
      </c>
      <c r="N40" s="14" t="s">
        <v>260</v>
      </c>
      <c r="O40" s="15">
        <v>2022</v>
      </c>
      <c r="P40" s="15" t="s">
        <v>41</v>
      </c>
      <c r="Q40" s="15" t="s">
        <v>194</v>
      </c>
      <c r="R40" s="15" t="s">
        <v>63</v>
      </c>
      <c r="S40" s="15" t="s">
        <v>269</v>
      </c>
      <c r="T40" s="15">
        <v>422900</v>
      </c>
      <c r="U40" s="15" t="s">
        <v>45</v>
      </c>
      <c r="V40" s="15" t="s">
        <v>58</v>
      </c>
      <c r="W40" s="15" t="s">
        <v>41</v>
      </c>
      <c r="X40" s="15" t="s">
        <v>74</v>
      </c>
      <c r="Y40" s="15" t="s">
        <v>257</v>
      </c>
      <c r="Z40" s="15" t="s">
        <v>49</v>
      </c>
      <c r="AA40" s="15" t="s">
        <v>50</v>
      </c>
      <c r="AB40" s="15" t="s">
        <v>67</v>
      </c>
      <c r="AC40" s="15" t="s">
        <v>52</v>
      </c>
      <c r="AD40" s="15" t="s">
        <v>53</v>
      </c>
      <c r="AE40" s="15" t="s">
        <v>54</v>
      </c>
      <c r="AF40" s="15" t="s">
        <v>55</v>
      </c>
      <c r="AG40" s="15"/>
      <c r="AH40" s="14" t="str">
        <f>VLOOKUP(B40,[1]Sheet1!$A$2:$F$294,6,FALSE)</f>
        <v>一般困难</v>
      </c>
      <c r="AI40" s="14">
        <f>VLOOKUP(B40,[1]Sheet1!$A$2:$F$294,4,FALSE)</f>
        <v>0</v>
      </c>
      <c r="AJ40" s="14" t="str">
        <f>VLOOKUP(B40,[1]Sheet1!$A$2:$F$294,5,FALSE)</f>
        <v>无</v>
      </c>
    </row>
    <row r="41" s="2" customFormat="1" ht="14.25" spans="1:36">
      <c r="A41" s="11">
        <v>40</v>
      </c>
      <c r="B41" s="12">
        <v>22408000624</v>
      </c>
      <c r="C41" s="13" t="s">
        <v>270</v>
      </c>
      <c r="D41" s="14" t="s">
        <v>251</v>
      </c>
      <c r="E41" s="41" t="s">
        <v>271</v>
      </c>
      <c r="F41" s="14">
        <v>18175764721</v>
      </c>
      <c r="G41" s="15">
        <v>18175503511</v>
      </c>
      <c r="H41" s="15">
        <v>18175503522</v>
      </c>
      <c r="I41" s="14" t="s">
        <v>58</v>
      </c>
      <c r="J41" s="15">
        <v>2022080006</v>
      </c>
      <c r="K41" s="16" t="s">
        <v>253</v>
      </c>
      <c r="L41" s="14" t="s">
        <v>59</v>
      </c>
      <c r="M41" s="14" t="s">
        <v>206</v>
      </c>
      <c r="N41" s="14" t="s">
        <v>272</v>
      </c>
      <c r="O41" s="15">
        <v>2022</v>
      </c>
      <c r="P41" s="15" t="s">
        <v>41</v>
      </c>
      <c r="Q41" s="15" t="s">
        <v>42</v>
      </c>
      <c r="R41" s="15" t="s">
        <v>43</v>
      </c>
      <c r="S41" s="15" t="s">
        <v>273</v>
      </c>
      <c r="T41" s="15">
        <v>423000</v>
      </c>
      <c r="U41" s="15" t="s">
        <v>45</v>
      </c>
      <c r="V41" s="15" t="s">
        <v>58</v>
      </c>
      <c r="W41" s="15" t="s">
        <v>41</v>
      </c>
      <c r="X41" s="15" t="s">
        <v>74</v>
      </c>
      <c r="Y41" s="15" t="s">
        <v>266</v>
      </c>
      <c r="Z41" s="15" t="s">
        <v>49</v>
      </c>
      <c r="AA41" s="15" t="s">
        <v>50</v>
      </c>
      <c r="AB41" s="15" t="s">
        <v>67</v>
      </c>
      <c r="AC41" s="15" t="s">
        <v>52</v>
      </c>
      <c r="AD41" s="15" t="s">
        <v>53</v>
      </c>
      <c r="AE41" s="15" t="s">
        <v>274</v>
      </c>
      <c r="AF41" s="15" t="s">
        <v>55</v>
      </c>
      <c r="AG41" s="15"/>
      <c r="AH41" s="14" t="str">
        <f>VLOOKUP(B41,[1]Sheet1!$A$2:$F$294,6,FALSE)</f>
        <v>无</v>
      </c>
      <c r="AI41" s="14">
        <f>VLOOKUP(B41,[1]Sheet1!$A$2:$F$294,4,FALSE)</f>
        <v>0</v>
      </c>
      <c r="AJ41" s="14" t="str">
        <f>VLOOKUP(B41,[1]Sheet1!$A$2:$F$294,5,FALSE)</f>
        <v>无</v>
      </c>
    </row>
    <row r="42" s="2" customFormat="1" ht="14.25" spans="1:36">
      <c r="A42" s="11">
        <v>41</v>
      </c>
      <c r="B42" s="12">
        <v>22408000625</v>
      </c>
      <c r="C42" s="13" t="s">
        <v>275</v>
      </c>
      <c r="D42" s="14" t="s">
        <v>251</v>
      </c>
      <c r="E42" s="41" t="s">
        <v>276</v>
      </c>
      <c r="F42" s="14">
        <v>15096125871</v>
      </c>
      <c r="G42" s="15">
        <v>18795315631</v>
      </c>
      <c r="H42" s="15">
        <v>18873513921</v>
      </c>
      <c r="I42" s="14" t="s">
        <v>58</v>
      </c>
      <c r="J42" s="15">
        <v>2022080006</v>
      </c>
      <c r="K42" s="16" t="s">
        <v>253</v>
      </c>
      <c r="L42" s="14" t="s">
        <v>59</v>
      </c>
      <c r="M42" s="14" t="s">
        <v>206</v>
      </c>
      <c r="N42" s="14" t="s">
        <v>272</v>
      </c>
      <c r="O42" s="15">
        <v>2022</v>
      </c>
      <c r="P42" s="15" t="s">
        <v>41</v>
      </c>
      <c r="Q42" s="15" t="s">
        <v>42</v>
      </c>
      <c r="R42" s="15" t="s">
        <v>63</v>
      </c>
      <c r="S42" s="15" t="s">
        <v>277</v>
      </c>
      <c r="T42" s="15">
        <v>423403</v>
      </c>
      <c r="U42" s="15" t="s">
        <v>45</v>
      </c>
      <c r="V42" s="15" t="s">
        <v>58</v>
      </c>
      <c r="W42" s="15" t="s">
        <v>41</v>
      </c>
      <c r="X42" s="15" t="s">
        <v>47</v>
      </c>
      <c r="Y42" s="15" t="s">
        <v>47</v>
      </c>
      <c r="Z42" s="15" t="s">
        <v>75</v>
      </c>
      <c r="AA42" s="15" t="s">
        <v>50</v>
      </c>
      <c r="AB42" s="15" t="s">
        <v>67</v>
      </c>
      <c r="AC42" s="15" t="s">
        <v>52</v>
      </c>
      <c r="AD42" s="15" t="s">
        <v>53</v>
      </c>
      <c r="AE42" s="15" t="s">
        <v>54</v>
      </c>
      <c r="AF42" s="15" t="s">
        <v>55</v>
      </c>
      <c r="AG42" s="15" t="s">
        <v>244</v>
      </c>
      <c r="AH42" s="14" t="str">
        <f>VLOOKUP(B42,[1]Sheet1!$A$2:$F$294,6,FALSE)</f>
        <v>无</v>
      </c>
      <c r="AI42" s="14">
        <f>VLOOKUP(B42,[1]Sheet1!$A$2:$F$294,4,FALSE)</f>
        <v>3</v>
      </c>
      <c r="AJ42" s="14" t="str">
        <f>VLOOKUP(B42,[1]Sheet1!$A$2:$F$294,5,FALSE)</f>
        <v>JAVA程序设计,Python程序设计,软件工程</v>
      </c>
    </row>
    <row r="43" s="2" customFormat="1" ht="14.25" spans="1:36">
      <c r="A43" s="11">
        <v>42</v>
      </c>
      <c r="B43" s="12">
        <v>22408000636</v>
      </c>
      <c r="C43" s="13" t="s">
        <v>278</v>
      </c>
      <c r="D43" s="14" t="s">
        <v>251</v>
      </c>
      <c r="E43" s="41" t="s">
        <v>279</v>
      </c>
      <c r="F43" s="14">
        <v>19947347388</v>
      </c>
      <c r="G43" s="15">
        <v>13875731489</v>
      </c>
      <c r="H43" s="15">
        <v>13875680799</v>
      </c>
      <c r="I43" s="14" t="s">
        <v>58</v>
      </c>
      <c r="J43" s="15">
        <v>2022080006</v>
      </c>
      <c r="K43" s="16" t="s">
        <v>253</v>
      </c>
      <c r="L43" s="14" t="s">
        <v>59</v>
      </c>
      <c r="M43" s="14" t="s">
        <v>206</v>
      </c>
      <c r="N43" s="14" t="s">
        <v>280</v>
      </c>
      <c r="O43" s="15">
        <v>2022</v>
      </c>
      <c r="P43" s="15" t="s">
        <v>41</v>
      </c>
      <c r="Q43" s="15" t="s">
        <v>140</v>
      </c>
      <c r="R43" s="15" t="s">
        <v>63</v>
      </c>
      <c r="S43" s="15" t="s">
        <v>281</v>
      </c>
      <c r="T43" s="15">
        <v>421002</v>
      </c>
      <c r="U43" s="15" t="s">
        <v>45</v>
      </c>
      <c r="V43" s="15" t="s">
        <v>58</v>
      </c>
      <c r="W43" s="15" t="s">
        <v>41</v>
      </c>
      <c r="X43" s="15" t="s">
        <v>74</v>
      </c>
      <c r="Y43" s="15" t="s">
        <v>257</v>
      </c>
      <c r="Z43" s="15" t="s">
        <v>49</v>
      </c>
      <c r="AA43" s="15" t="s">
        <v>50</v>
      </c>
      <c r="AB43" s="15" t="s">
        <v>67</v>
      </c>
      <c r="AC43" s="15" t="s">
        <v>52</v>
      </c>
      <c r="AD43" s="15" t="s">
        <v>53</v>
      </c>
      <c r="AE43" s="15" t="s">
        <v>54</v>
      </c>
      <c r="AF43" s="15" t="s">
        <v>55</v>
      </c>
      <c r="AG43" s="15"/>
      <c r="AH43" s="14" t="str">
        <f>VLOOKUP(B43,[1]Sheet1!$A$2:$F$294,6,FALSE)</f>
        <v>无</v>
      </c>
      <c r="AI43" s="14">
        <f>VLOOKUP(B43,[1]Sheet1!$A$2:$F$294,4,FALSE)</f>
        <v>0</v>
      </c>
      <c r="AJ43" s="14" t="str">
        <f>VLOOKUP(B43,[1]Sheet1!$A$2:$F$294,5,FALSE)</f>
        <v>无</v>
      </c>
    </row>
    <row r="44" s="2" customFormat="1" ht="14.25" spans="1:36">
      <c r="A44" s="11">
        <v>43</v>
      </c>
      <c r="B44" s="12">
        <v>22408000638</v>
      </c>
      <c r="C44" s="13" t="s">
        <v>282</v>
      </c>
      <c r="D44" s="14" t="s">
        <v>251</v>
      </c>
      <c r="E44" s="41" t="s">
        <v>283</v>
      </c>
      <c r="F44" s="14">
        <v>13028603139</v>
      </c>
      <c r="G44" s="15">
        <v>15233652000</v>
      </c>
      <c r="H44" s="15">
        <v>18633459682</v>
      </c>
      <c r="I44" s="14" t="s">
        <v>58</v>
      </c>
      <c r="J44" s="15">
        <v>2022080006</v>
      </c>
      <c r="K44" s="16" t="s">
        <v>253</v>
      </c>
      <c r="L44" s="14" t="s">
        <v>59</v>
      </c>
      <c r="M44" s="14" t="s">
        <v>206</v>
      </c>
      <c r="N44" s="14" t="s">
        <v>280</v>
      </c>
      <c r="O44" s="15">
        <v>2022</v>
      </c>
      <c r="P44" s="15" t="s">
        <v>41</v>
      </c>
      <c r="Q44" s="15" t="s">
        <v>284</v>
      </c>
      <c r="R44" s="15" t="s">
        <v>63</v>
      </c>
      <c r="S44" s="15" t="s">
        <v>285</v>
      </c>
      <c r="T44" s="15">
        <v>50200</v>
      </c>
      <c r="U44" s="15" t="s">
        <v>65</v>
      </c>
      <c r="V44" s="15" t="s">
        <v>58</v>
      </c>
      <c r="W44" s="15" t="s">
        <v>41</v>
      </c>
      <c r="X44" s="15" t="s">
        <v>74</v>
      </c>
      <c r="Y44" s="15" t="s">
        <v>257</v>
      </c>
      <c r="Z44" s="15" t="s">
        <v>49</v>
      </c>
      <c r="AA44" s="15" t="s">
        <v>50</v>
      </c>
      <c r="AB44" s="15" t="s">
        <v>67</v>
      </c>
      <c r="AC44" s="15" t="s">
        <v>52</v>
      </c>
      <c r="AD44" s="15" t="s">
        <v>53</v>
      </c>
      <c r="AE44" s="15" t="s">
        <v>54</v>
      </c>
      <c r="AF44" s="15" t="s">
        <v>55</v>
      </c>
      <c r="AG44" s="15"/>
      <c r="AH44" s="14" t="str">
        <f>VLOOKUP(B44,[1]Sheet1!$A$2:$F$294,6,FALSE)</f>
        <v>无</v>
      </c>
      <c r="AI44" s="14">
        <f>VLOOKUP(B44,[1]Sheet1!$A$2:$F$294,4,FALSE)</f>
        <v>0</v>
      </c>
      <c r="AJ44" s="14" t="str">
        <f>VLOOKUP(B44,[1]Sheet1!$A$2:$F$294,5,FALSE)</f>
        <v>无</v>
      </c>
    </row>
    <row r="45" s="2" customFormat="1" ht="14.25" spans="1:36">
      <c r="A45" s="11">
        <v>44</v>
      </c>
      <c r="B45" s="12">
        <v>22408000640</v>
      </c>
      <c r="C45" s="13" t="s">
        <v>286</v>
      </c>
      <c r="D45" s="14" t="s">
        <v>251</v>
      </c>
      <c r="E45" s="41" t="s">
        <v>287</v>
      </c>
      <c r="F45" s="14">
        <v>19891912918</v>
      </c>
      <c r="G45" s="15">
        <v>15673094087</v>
      </c>
      <c r="H45" s="15">
        <v>15580740891</v>
      </c>
      <c r="I45" s="14" t="s">
        <v>58</v>
      </c>
      <c r="J45" s="15">
        <v>2022080006</v>
      </c>
      <c r="K45" s="16" t="s">
        <v>253</v>
      </c>
      <c r="L45" s="14" t="s">
        <v>59</v>
      </c>
      <c r="M45" s="14" t="s">
        <v>206</v>
      </c>
      <c r="N45" s="14" t="s">
        <v>288</v>
      </c>
      <c r="O45" s="15">
        <v>2022</v>
      </c>
      <c r="P45" s="15" t="s">
        <v>41</v>
      </c>
      <c r="Q45" s="15" t="s">
        <v>289</v>
      </c>
      <c r="R45" s="15" t="s">
        <v>63</v>
      </c>
      <c r="S45" s="15" t="s">
        <v>290</v>
      </c>
      <c r="T45" s="15">
        <v>418100</v>
      </c>
      <c r="U45" s="15" t="s">
        <v>45</v>
      </c>
      <c r="V45" s="15" t="s">
        <v>58</v>
      </c>
      <c r="W45" s="15" t="s">
        <v>41</v>
      </c>
      <c r="X45" s="15" t="s">
        <v>74</v>
      </c>
      <c r="Y45" s="15" t="s">
        <v>291</v>
      </c>
      <c r="Z45" s="15" t="s">
        <v>75</v>
      </c>
      <c r="AA45" s="15" t="s">
        <v>50</v>
      </c>
      <c r="AB45" s="15" t="s">
        <v>67</v>
      </c>
      <c r="AC45" s="15" t="s">
        <v>52</v>
      </c>
      <c r="AD45" s="15" t="s">
        <v>53</v>
      </c>
      <c r="AE45" s="15" t="s">
        <v>54</v>
      </c>
      <c r="AF45" s="15" t="s">
        <v>55</v>
      </c>
      <c r="AG45" s="15"/>
      <c r="AH45" s="14" t="str">
        <f>VLOOKUP(B45,[1]Sheet1!$A$2:$F$294,6,FALSE)</f>
        <v>无</v>
      </c>
      <c r="AI45" s="14">
        <f>VLOOKUP(B45,[1]Sheet1!$A$2:$F$294,4,FALSE)</f>
        <v>0</v>
      </c>
      <c r="AJ45" s="14" t="str">
        <f>VLOOKUP(B45,[1]Sheet1!$A$2:$F$294,5,FALSE)</f>
        <v>无</v>
      </c>
    </row>
    <row r="46" s="2" customFormat="1" ht="14.25" spans="1:36">
      <c r="A46" s="11">
        <v>45</v>
      </c>
      <c r="B46" s="12">
        <v>22408000642</v>
      </c>
      <c r="C46" s="13" t="s">
        <v>292</v>
      </c>
      <c r="D46" s="14" t="s">
        <v>251</v>
      </c>
      <c r="E46" s="41" t="s">
        <v>293</v>
      </c>
      <c r="F46" s="14">
        <v>17726179236</v>
      </c>
      <c r="G46" s="15">
        <v>15707378508</v>
      </c>
      <c r="H46" s="15">
        <v>18230584661</v>
      </c>
      <c r="I46" s="14" t="s">
        <v>58</v>
      </c>
      <c r="J46" s="15">
        <v>2022080006</v>
      </c>
      <c r="K46" s="16" t="s">
        <v>253</v>
      </c>
      <c r="L46" s="14" t="s">
        <v>59</v>
      </c>
      <c r="M46" s="14" t="s">
        <v>206</v>
      </c>
      <c r="N46" s="14" t="s">
        <v>288</v>
      </c>
      <c r="O46" s="15">
        <v>2022</v>
      </c>
      <c r="P46" s="15" t="s">
        <v>41</v>
      </c>
      <c r="Q46" s="15" t="s">
        <v>104</v>
      </c>
      <c r="R46" s="15" t="s">
        <v>63</v>
      </c>
      <c r="S46" s="15" t="s">
        <v>294</v>
      </c>
      <c r="T46" s="15">
        <v>413407</v>
      </c>
      <c r="U46" s="15" t="s">
        <v>45</v>
      </c>
      <c r="V46" s="15" t="s">
        <v>58</v>
      </c>
      <c r="W46" s="15" t="s">
        <v>41</v>
      </c>
      <c r="X46" s="15" t="s">
        <v>47</v>
      </c>
      <c r="Y46" s="15" t="s">
        <v>257</v>
      </c>
      <c r="Z46" s="15" t="s">
        <v>49</v>
      </c>
      <c r="AA46" s="15" t="s">
        <v>100</v>
      </c>
      <c r="AB46" s="15" t="s">
        <v>51</v>
      </c>
      <c r="AC46" s="15" t="s">
        <v>52</v>
      </c>
      <c r="AD46" s="15" t="s">
        <v>53</v>
      </c>
      <c r="AE46" s="15" t="s">
        <v>54</v>
      </c>
      <c r="AF46" s="15" t="s">
        <v>55</v>
      </c>
      <c r="AG46" s="15"/>
      <c r="AH46" s="14" t="str">
        <f>VLOOKUP(B46,[1]Sheet1!$A$2:$F$294,6,FALSE)</f>
        <v>无</v>
      </c>
      <c r="AI46" s="14">
        <f>VLOOKUP(B46,[1]Sheet1!$A$2:$F$294,4,FALSE)</f>
        <v>0</v>
      </c>
      <c r="AJ46" s="14" t="str">
        <f>VLOOKUP(B46,[1]Sheet1!$A$2:$F$294,5,FALSE)</f>
        <v>无</v>
      </c>
    </row>
    <row r="47" s="2" customFormat="1" ht="14.25" spans="1:36">
      <c r="A47" s="11">
        <v>46</v>
      </c>
      <c r="B47" s="12">
        <v>22408000701</v>
      </c>
      <c r="C47" s="13" t="s">
        <v>295</v>
      </c>
      <c r="D47" s="14" t="s">
        <v>251</v>
      </c>
      <c r="E47" s="41" t="s">
        <v>296</v>
      </c>
      <c r="F47" s="14">
        <v>18973308268</v>
      </c>
      <c r="G47" s="15">
        <v>13427704688</v>
      </c>
      <c r="H47" s="15">
        <v>18273376568</v>
      </c>
      <c r="I47" s="14" t="s">
        <v>58</v>
      </c>
      <c r="J47" s="15">
        <v>2022080007</v>
      </c>
      <c r="K47" s="16" t="s">
        <v>297</v>
      </c>
      <c r="L47" s="14" t="s">
        <v>59</v>
      </c>
      <c r="M47" s="14" t="s">
        <v>206</v>
      </c>
      <c r="N47" s="14" t="s">
        <v>298</v>
      </c>
      <c r="O47" s="15">
        <v>2022</v>
      </c>
      <c r="P47" s="15" t="s">
        <v>41</v>
      </c>
      <c r="Q47" s="15" t="s">
        <v>299</v>
      </c>
      <c r="R47" s="15" t="s">
        <v>63</v>
      </c>
      <c r="S47" s="15" t="s">
        <v>300</v>
      </c>
      <c r="T47" s="15">
        <v>412413</v>
      </c>
      <c r="U47" s="15" t="s">
        <v>45</v>
      </c>
      <c r="V47" s="15" t="s">
        <v>58</v>
      </c>
      <c r="W47" s="15" t="s">
        <v>41</v>
      </c>
      <c r="X47" s="15" t="s">
        <v>74</v>
      </c>
      <c r="Y47" s="15" t="s">
        <v>47</v>
      </c>
      <c r="Z47" s="15" t="s">
        <v>49</v>
      </c>
      <c r="AA47" s="15" t="s">
        <v>50</v>
      </c>
      <c r="AB47" s="15" t="s">
        <v>67</v>
      </c>
      <c r="AC47" s="15" t="s">
        <v>52</v>
      </c>
      <c r="AD47" s="15" t="s">
        <v>53</v>
      </c>
      <c r="AE47" s="15" t="s">
        <v>54</v>
      </c>
      <c r="AF47" s="15" t="s">
        <v>55</v>
      </c>
      <c r="AG47" s="15" t="s">
        <v>244</v>
      </c>
      <c r="AH47" s="14" t="str">
        <f>VLOOKUP(B47,[1]Sheet1!$A$2:$F$294,6,FALSE)</f>
        <v>无</v>
      </c>
      <c r="AI47" s="14">
        <f>VLOOKUP(B47,[1]Sheet1!$A$2:$F$294,4,FALSE)</f>
        <v>2</v>
      </c>
      <c r="AJ47" s="14" t="str">
        <f>VLOOKUP(B47,[1]Sheet1!$A$2:$F$294,5,FALSE)</f>
        <v>JAVA程序设计,汇编语言程序设计</v>
      </c>
    </row>
    <row r="48" s="2" customFormat="1" ht="14.25" spans="1:36">
      <c r="A48" s="11">
        <v>47</v>
      </c>
      <c r="B48" s="12">
        <v>22408000702</v>
      </c>
      <c r="C48" s="13" t="s">
        <v>301</v>
      </c>
      <c r="D48" s="14" t="s">
        <v>251</v>
      </c>
      <c r="E48" s="41" t="s">
        <v>302</v>
      </c>
      <c r="F48" s="14">
        <v>17700701804</v>
      </c>
      <c r="G48" s="15">
        <v>15007361080</v>
      </c>
      <c r="H48" s="15">
        <v>15007361080</v>
      </c>
      <c r="I48" s="14" t="s">
        <v>58</v>
      </c>
      <c r="J48" s="15">
        <v>2022080007</v>
      </c>
      <c r="K48" s="16" t="s">
        <v>297</v>
      </c>
      <c r="L48" s="14" t="s">
        <v>59</v>
      </c>
      <c r="M48" s="14" t="s">
        <v>206</v>
      </c>
      <c r="N48" s="14" t="s">
        <v>298</v>
      </c>
      <c r="O48" s="15">
        <v>2022</v>
      </c>
      <c r="P48" s="15" t="s">
        <v>41</v>
      </c>
      <c r="Q48" s="15" t="s">
        <v>303</v>
      </c>
      <c r="R48" s="15" t="s">
        <v>43</v>
      </c>
      <c r="S48" s="15" t="s">
        <v>304</v>
      </c>
      <c r="T48" s="15">
        <v>415000</v>
      </c>
      <c r="U48" s="15" t="s">
        <v>45</v>
      </c>
      <c r="V48" s="15" t="s">
        <v>58</v>
      </c>
      <c r="W48" s="15" t="s">
        <v>41</v>
      </c>
      <c r="X48" s="15" t="s">
        <v>74</v>
      </c>
      <c r="Y48" s="15" t="s">
        <v>257</v>
      </c>
      <c r="Z48" s="15" t="s">
        <v>49</v>
      </c>
      <c r="AA48" s="15" t="s">
        <v>50</v>
      </c>
      <c r="AB48" s="15" t="s">
        <v>51</v>
      </c>
      <c r="AC48" s="15" t="s">
        <v>52</v>
      </c>
      <c r="AD48" s="15" t="s">
        <v>53</v>
      </c>
      <c r="AE48" s="15" t="s">
        <v>54</v>
      </c>
      <c r="AF48" s="15" t="s">
        <v>55</v>
      </c>
      <c r="AG48" s="15" t="s">
        <v>305</v>
      </c>
      <c r="AH48" s="14" t="str">
        <f>VLOOKUP(B48,[1]Sheet1!$A$2:$F$294,6,FALSE)</f>
        <v>无</v>
      </c>
      <c r="AI48" s="14">
        <f>VLOOKUP(B48,[1]Sheet1!$A$2:$F$294,4,FALSE)</f>
        <v>1</v>
      </c>
      <c r="AJ48" s="14" t="str">
        <f>VLOOKUP(B48,[1]Sheet1!$A$2:$F$294,5,FALSE)</f>
        <v>面向对象程序设计</v>
      </c>
    </row>
    <row r="49" s="2" customFormat="1" ht="14.25" spans="1:36">
      <c r="A49" s="11">
        <v>48</v>
      </c>
      <c r="B49" s="12">
        <v>22408000707</v>
      </c>
      <c r="C49" s="13" t="s">
        <v>306</v>
      </c>
      <c r="D49" s="14" t="s">
        <v>251</v>
      </c>
      <c r="E49" s="41" t="s">
        <v>307</v>
      </c>
      <c r="F49" s="14">
        <v>19376890396</v>
      </c>
      <c r="G49" s="15">
        <v>13762344724</v>
      </c>
      <c r="H49" s="15">
        <v>13684857089</v>
      </c>
      <c r="I49" s="14" t="s">
        <v>58</v>
      </c>
      <c r="J49" s="15">
        <v>2022080007</v>
      </c>
      <c r="K49" s="16" t="s">
        <v>297</v>
      </c>
      <c r="L49" s="14" t="s">
        <v>59</v>
      </c>
      <c r="M49" s="14" t="s">
        <v>206</v>
      </c>
      <c r="N49" s="14" t="s">
        <v>308</v>
      </c>
      <c r="O49" s="15">
        <v>2022</v>
      </c>
      <c r="P49" s="15" t="s">
        <v>41</v>
      </c>
      <c r="Q49" s="15" t="s">
        <v>110</v>
      </c>
      <c r="R49" s="15" t="s">
        <v>63</v>
      </c>
      <c r="S49" s="15" t="s">
        <v>309</v>
      </c>
      <c r="T49" s="15">
        <v>410201</v>
      </c>
      <c r="U49" s="15" t="s">
        <v>45</v>
      </c>
      <c r="V49" s="15" t="s">
        <v>58</v>
      </c>
      <c r="W49" s="15" t="s">
        <v>41</v>
      </c>
      <c r="X49" s="15" t="s">
        <v>47</v>
      </c>
      <c r="Y49" s="15" t="s">
        <v>47</v>
      </c>
      <c r="Z49" s="15" t="s">
        <v>75</v>
      </c>
      <c r="AA49" s="15" t="s">
        <v>50</v>
      </c>
      <c r="AB49" s="15" t="s">
        <v>67</v>
      </c>
      <c r="AC49" s="15" t="s">
        <v>52</v>
      </c>
      <c r="AD49" s="15" t="s">
        <v>53</v>
      </c>
      <c r="AE49" s="15" t="s">
        <v>54</v>
      </c>
      <c r="AF49" s="15" t="s">
        <v>55</v>
      </c>
      <c r="AG49" s="15"/>
      <c r="AH49" s="14" t="str">
        <f>VLOOKUP(B49,[1]Sheet1!$A$2:$F$294,6,FALSE)</f>
        <v>无</v>
      </c>
      <c r="AI49" s="14">
        <f>VLOOKUP(B49,[1]Sheet1!$A$2:$F$294,4,FALSE)</f>
        <v>0</v>
      </c>
      <c r="AJ49" s="14" t="str">
        <f>VLOOKUP(B49,[1]Sheet1!$A$2:$F$294,5,FALSE)</f>
        <v>无</v>
      </c>
    </row>
    <row r="50" s="2" customFormat="1" ht="14.25" spans="1:36">
      <c r="A50" s="11">
        <v>49</v>
      </c>
      <c r="B50" s="12">
        <v>22408000714</v>
      </c>
      <c r="C50" s="13" t="s">
        <v>310</v>
      </c>
      <c r="D50" s="14" t="s">
        <v>251</v>
      </c>
      <c r="E50" s="41" t="s">
        <v>311</v>
      </c>
      <c r="F50" s="14">
        <v>13172671798</v>
      </c>
      <c r="G50" s="15">
        <v>13973978493</v>
      </c>
      <c r="H50" s="15">
        <v>15526061000</v>
      </c>
      <c r="I50" s="14" t="s">
        <v>36</v>
      </c>
      <c r="J50" s="15">
        <v>2022080007</v>
      </c>
      <c r="K50" s="16" t="s">
        <v>297</v>
      </c>
      <c r="L50" s="14" t="s">
        <v>38</v>
      </c>
      <c r="M50" s="14" t="s">
        <v>39</v>
      </c>
      <c r="N50" s="14" t="s">
        <v>312</v>
      </c>
      <c r="O50" s="15">
        <v>2022</v>
      </c>
      <c r="P50" s="15" t="s">
        <v>41</v>
      </c>
      <c r="Q50" s="15" t="s">
        <v>313</v>
      </c>
      <c r="R50" s="15" t="s">
        <v>43</v>
      </c>
      <c r="S50" s="15" t="s">
        <v>314</v>
      </c>
      <c r="T50" s="15">
        <v>54800</v>
      </c>
      <c r="U50" s="15" t="s">
        <v>65</v>
      </c>
      <c r="V50" s="15" t="s">
        <v>36</v>
      </c>
      <c r="W50" s="15" t="s">
        <v>41</v>
      </c>
      <c r="X50" s="15" t="s">
        <v>74</v>
      </c>
      <c r="Y50" s="15" t="s">
        <v>257</v>
      </c>
      <c r="Z50" s="15" t="s">
        <v>49</v>
      </c>
      <c r="AA50" s="15" t="s">
        <v>50</v>
      </c>
      <c r="AB50" s="15" t="s">
        <v>67</v>
      </c>
      <c r="AC50" s="15" t="s">
        <v>52</v>
      </c>
      <c r="AD50" s="15" t="s">
        <v>53</v>
      </c>
      <c r="AE50" s="15" t="s">
        <v>54</v>
      </c>
      <c r="AF50" s="15" t="s">
        <v>55</v>
      </c>
      <c r="AG50" s="15"/>
      <c r="AH50" s="14" t="str">
        <f>VLOOKUP(B50,[1]Sheet1!$A$2:$F$294,6,FALSE)</f>
        <v>无</v>
      </c>
      <c r="AI50" s="14">
        <f>VLOOKUP(B50,[1]Sheet1!$A$2:$F$294,4,FALSE)</f>
        <v>0</v>
      </c>
      <c r="AJ50" s="14" t="str">
        <f>VLOOKUP(B50,[1]Sheet1!$A$2:$F$294,5,FALSE)</f>
        <v>无</v>
      </c>
    </row>
    <row r="51" s="2" customFormat="1" ht="14.25" spans="1:36">
      <c r="A51" s="11">
        <v>50</v>
      </c>
      <c r="B51" s="12">
        <v>22408000716</v>
      </c>
      <c r="C51" s="13" t="s">
        <v>315</v>
      </c>
      <c r="D51" s="14" t="s">
        <v>251</v>
      </c>
      <c r="E51" s="41" t="s">
        <v>316</v>
      </c>
      <c r="F51" s="14">
        <v>17749614382</v>
      </c>
      <c r="G51" s="15">
        <v>13501465259</v>
      </c>
      <c r="H51" s="15">
        <v>15307399892</v>
      </c>
      <c r="I51" s="14" t="s">
        <v>36</v>
      </c>
      <c r="J51" s="15">
        <v>2022080007</v>
      </c>
      <c r="K51" s="16" t="s">
        <v>297</v>
      </c>
      <c r="L51" s="14" t="s">
        <v>38</v>
      </c>
      <c r="M51" s="14" t="s">
        <v>39</v>
      </c>
      <c r="N51" s="14" t="s">
        <v>312</v>
      </c>
      <c r="O51" s="15">
        <v>2022</v>
      </c>
      <c r="P51" s="15" t="s">
        <v>41</v>
      </c>
      <c r="Q51" s="15" t="s">
        <v>317</v>
      </c>
      <c r="R51" s="15" t="s">
        <v>63</v>
      </c>
      <c r="S51" s="15" t="s">
        <v>318</v>
      </c>
      <c r="T51" s="15">
        <v>413000</v>
      </c>
      <c r="U51" s="15" t="s">
        <v>45</v>
      </c>
      <c r="V51" s="15" t="s">
        <v>36</v>
      </c>
      <c r="W51" s="15" t="s">
        <v>41</v>
      </c>
      <c r="X51" s="15" t="s">
        <v>74</v>
      </c>
      <c r="Y51" s="15" t="s">
        <v>291</v>
      </c>
      <c r="Z51" s="15" t="s">
        <v>49</v>
      </c>
      <c r="AA51" s="15" t="s">
        <v>50</v>
      </c>
      <c r="AB51" s="15" t="s">
        <v>67</v>
      </c>
      <c r="AC51" s="15" t="s">
        <v>52</v>
      </c>
      <c r="AD51" s="15" t="s">
        <v>53</v>
      </c>
      <c r="AE51" s="15" t="s">
        <v>54</v>
      </c>
      <c r="AF51" s="15" t="s">
        <v>55</v>
      </c>
      <c r="AG51" s="15"/>
      <c r="AH51" s="14" t="str">
        <f>VLOOKUP(B51,[1]Sheet1!$A$2:$F$294,6,FALSE)</f>
        <v>一般困难</v>
      </c>
      <c r="AI51" s="14">
        <f>VLOOKUP(B51,[1]Sheet1!$A$2:$F$294,4,FALSE)</f>
        <v>0</v>
      </c>
      <c r="AJ51" s="14" t="str">
        <f>VLOOKUP(B51,[1]Sheet1!$A$2:$F$294,5,FALSE)</f>
        <v>无</v>
      </c>
    </row>
    <row r="52" s="2" customFormat="1" ht="14.25" spans="1:36">
      <c r="A52" s="11">
        <v>51</v>
      </c>
      <c r="B52" s="12">
        <v>22408000719</v>
      </c>
      <c r="C52" s="13" t="s">
        <v>319</v>
      </c>
      <c r="D52" s="14" t="s">
        <v>251</v>
      </c>
      <c r="E52" s="41" t="s">
        <v>320</v>
      </c>
      <c r="F52" s="14">
        <v>17323834619</v>
      </c>
      <c r="G52" s="15">
        <v>17711729983</v>
      </c>
      <c r="H52" s="15">
        <v>17711729923</v>
      </c>
      <c r="I52" s="14" t="s">
        <v>58</v>
      </c>
      <c r="J52" s="15">
        <v>2022080007</v>
      </c>
      <c r="K52" s="16" t="s">
        <v>297</v>
      </c>
      <c r="L52" s="14" t="s">
        <v>59</v>
      </c>
      <c r="M52" s="14" t="s">
        <v>206</v>
      </c>
      <c r="N52" s="14" t="s">
        <v>321</v>
      </c>
      <c r="O52" s="15">
        <v>2022</v>
      </c>
      <c r="P52" s="15" t="s">
        <v>41</v>
      </c>
      <c r="Q52" s="15" t="s">
        <v>322</v>
      </c>
      <c r="R52" s="15" t="s">
        <v>63</v>
      </c>
      <c r="S52" s="15" t="s">
        <v>323</v>
      </c>
      <c r="T52" s="15">
        <v>402573</v>
      </c>
      <c r="U52" s="15" t="s">
        <v>73</v>
      </c>
      <c r="V52" s="15" t="s">
        <v>58</v>
      </c>
      <c r="W52" s="15" t="s">
        <v>41</v>
      </c>
      <c r="X52" s="15" t="s">
        <v>74</v>
      </c>
      <c r="Y52" s="15" t="s">
        <v>47</v>
      </c>
      <c r="Z52" s="15" t="s">
        <v>49</v>
      </c>
      <c r="AA52" s="15" t="s">
        <v>50</v>
      </c>
      <c r="AB52" s="15" t="s">
        <v>51</v>
      </c>
      <c r="AC52" s="15" t="s">
        <v>52</v>
      </c>
      <c r="AD52" s="15" t="s">
        <v>53</v>
      </c>
      <c r="AE52" s="15" t="s">
        <v>54</v>
      </c>
      <c r="AF52" s="15" t="s">
        <v>55</v>
      </c>
      <c r="AG52" s="15"/>
      <c r="AH52" s="14" t="str">
        <f>VLOOKUP(B52,[1]Sheet1!$A$2:$F$294,6,FALSE)</f>
        <v>无</v>
      </c>
      <c r="AI52" s="14">
        <f>VLOOKUP(B52,[1]Sheet1!$A$2:$F$294,4,FALSE)</f>
        <v>0</v>
      </c>
      <c r="AJ52" s="14" t="str">
        <f>VLOOKUP(B52,[1]Sheet1!$A$2:$F$294,5,FALSE)</f>
        <v>无</v>
      </c>
    </row>
    <row r="53" s="2" customFormat="1" ht="14.25" spans="1:36">
      <c r="A53" s="11">
        <v>52</v>
      </c>
      <c r="B53" s="12">
        <v>22408000725</v>
      </c>
      <c r="C53" s="13" t="s">
        <v>324</v>
      </c>
      <c r="D53" s="14" t="s">
        <v>251</v>
      </c>
      <c r="E53" s="15" t="s">
        <v>325</v>
      </c>
      <c r="F53" s="14">
        <v>18873656762</v>
      </c>
      <c r="G53" s="15">
        <v>15973401703</v>
      </c>
      <c r="H53" s="15">
        <v>13054062453</v>
      </c>
      <c r="I53" s="14" t="s">
        <v>58</v>
      </c>
      <c r="J53" s="15">
        <v>2022080007</v>
      </c>
      <c r="K53" s="16" t="s">
        <v>297</v>
      </c>
      <c r="L53" s="14" t="s">
        <v>59</v>
      </c>
      <c r="M53" s="14" t="s">
        <v>206</v>
      </c>
      <c r="N53" s="14" t="s">
        <v>326</v>
      </c>
      <c r="O53" s="15">
        <v>2022</v>
      </c>
      <c r="P53" s="15" t="s">
        <v>41</v>
      </c>
      <c r="Q53" s="15" t="s">
        <v>327</v>
      </c>
      <c r="R53" s="15" t="s">
        <v>63</v>
      </c>
      <c r="S53" s="15" t="s">
        <v>328</v>
      </c>
      <c r="T53" s="15">
        <v>415200</v>
      </c>
      <c r="U53" s="15" t="s">
        <v>45</v>
      </c>
      <c r="V53" s="15" t="s">
        <v>58</v>
      </c>
      <c r="W53" s="15" t="s">
        <v>41</v>
      </c>
      <c r="X53" s="15" t="s">
        <v>74</v>
      </c>
      <c r="Y53" s="15" t="s">
        <v>291</v>
      </c>
      <c r="Z53" s="15" t="s">
        <v>49</v>
      </c>
      <c r="AA53" s="15" t="s">
        <v>50</v>
      </c>
      <c r="AB53" s="15" t="s">
        <v>67</v>
      </c>
      <c r="AC53" s="15" t="s">
        <v>52</v>
      </c>
      <c r="AD53" s="15" t="s">
        <v>53</v>
      </c>
      <c r="AE53" s="15" t="s">
        <v>54</v>
      </c>
      <c r="AF53" s="15" t="s">
        <v>55</v>
      </c>
      <c r="AG53" s="15"/>
      <c r="AH53" s="14" t="str">
        <f>VLOOKUP(B53,[1]Sheet1!$A$2:$F$294,6,FALSE)</f>
        <v>无</v>
      </c>
      <c r="AI53" s="14">
        <f>VLOOKUP(B53,[1]Sheet1!$A$2:$F$294,4,FALSE)</f>
        <v>0</v>
      </c>
      <c r="AJ53" s="14" t="str">
        <f>VLOOKUP(B53,[1]Sheet1!$A$2:$F$294,5,FALSE)</f>
        <v>无</v>
      </c>
    </row>
    <row r="54" s="2" customFormat="1" ht="14.25" spans="1:36">
      <c r="A54" s="11">
        <v>53</v>
      </c>
      <c r="B54" s="12">
        <v>22408000727</v>
      </c>
      <c r="C54" s="13" t="s">
        <v>329</v>
      </c>
      <c r="D54" s="14" t="s">
        <v>251</v>
      </c>
      <c r="E54" s="41" t="s">
        <v>330</v>
      </c>
      <c r="F54" s="14">
        <v>13199903259</v>
      </c>
      <c r="G54" s="15">
        <v>15912010637</v>
      </c>
      <c r="H54" s="15">
        <v>13466072554</v>
      </c>
      <c r="I54" s="14" t="s">
        <v>36</v>
      </c>
      <c r="J54" s="15">
        <v>2022080007</v>
      </c>
      <c r="K54" s="16" t="s">
        <v>297</v>
      </c>
      <c r="L54" s="14" t="s">
        <v>38</v>
      </c>
      <c r="M54" s="14" t="s">
        <v>39</v>
      </c>
      <c r="N54" s="14" t="s">
        <v>312</v>
      </c>
      <c r="O54" s="15">
        <v>2022</v>
      </c>
      <c r="P54" s="15" t="s">
        <v>41</v>
      </c>
      <c r="Q54" s="15" t="s">
        <v>331</v>
      </c>
      <c r="R54" s="15" t="s">
        <v>43</v>
      </c>
      <c r="S54" s="15" t="s">
        <v>332</v>
      </c>
      <c r="T54" s="15">
        <v>833200</v>
      </c>
      <c r="U54" s="15" t="s">
        <v>333</v>
      </c>
      <c r="V54" s="15" t="s">
        <v>36</v>
      </c>
      <c r="W54" s="15" t="s">
        <v>41</v>
      </c>
      <c r="X54" s="15" t="s">
        <v>47</v>
      </c>
      <c r="Y54" s="15" t="s">
        <v>291</v>
      </c>
      <c r="Z54" s="15" t="s">
        <v>49</v>
      </c>
      <c r="AA54" s="15" t="s">
        <v>100</v>
      </c>
      <c r="AB54" s="15" t="s">
        <v>67</v>
      </c>
      <c r="AC54" s="15" t="s">
        <v>52</v>
      </c>
      <c r="AD54" s="15" t="s">
        <v>53</v>
      </c>
      <c r="AE54" s="15" t="s">
        <v>54</v>
      </c>
      <c r="AF54" s="15" t="s">
        <v>55</v>
      </c>
      <c r="AG54" s="15"/>
      <c r="AH54" s="14" t="str">
        <f>VLOOKUP(B54,[1]Sheet1!$A$2:$F$294,6,FALSE)</f>
        <v>一般困难</v>
      </c>
      <c r="AI54" s="14">
        <f>VLOOKUP(B54,[1]Sheet1!$A$2:$F$294,4,FALSE)</f>
        <v>0</v>
      </c>
      <c r="AJ54" s="14" t="str">
        <f>VLOOKUP(B54,[1]Sheet1!$A$2:$F$294,5,FALSE)</f>
        <v>无</v>
      </c>
    </row>
    <row r="55" s="2" customFormat="1" ht="14.25" spans="1:36">
      <c r="A55" s="11">
        <v>54</v>
      </c>
      <c r="B55" s="12">
        <v>22408000730</v>
      </c>
      <c r="C55" s="13" t="s">
        <v>334</v>
      </c>
      <c r="D55" s="14" t="s">
        <v>251</v>
      </c>
      <c r="E55" s="41" t="s">
        <v>335</v>
      </c>
      <c r="F55" s="14">
        <v>15675443792</v>
      </c>
      <c r="G55" s="15">
        <v>18699012135</v>
      </c>
      <c r="H55" s="15">
        <v>13119993259</v>
      </c>
      <c r="I55" s="14" t="s">
        <v>36</v>
      </c>
      <c r="J55" s="15">
        <v>2022080007</v>
      </c>
      <c r="K55" s="16" t="s">
        <v>297</v>
      </c>
      <c r="L55" s="14" t="s">
        <v>38</v>
      </c>
      <c r="M55" s="14" t="s">
        <v>39</v>
      </c>
      <c r="N55" s="14" t="s">
        <v>312</v>
      </c>
      <c r="O55" s="15">
        <v>2022</v>
      </c>
      <c r="P55" s="15" t="s">
        <v>41</v>
      </c>
      <c r="Q55" s="15" t="s">
        <v>140</v>
      </c>
      <c r="R55" s="15" t="s">
        <v>43</v>
      </c>
      <c r="S55" s="15" t="s">
        <v>336</v>
      </c>
      <c r="T55" s="15">
        <v>421000</v>
      </c>
      <c r="U55" s="15" t="s">
        <v>45</v>
      </c>
      <c r="V55" s="15" t="s">
        <v>36</v>
      </c>
      <c r="W55" s="15" t="s">
        <v>41</v>
      </c>
      <c r="X55" s="15" t="s">
        <v>74</v>
      </c>
      <c r="Y55" s="15" t="s">
        <v>257</v>
      </c>
      <c r="Z55" s="15" t="s">
        <v>49</v>
      </c>
      <c r="AA55" s="15" t="s">
        <v>50</v>
      </c>
      <c r="AB55" s="15" t="s">
        <v>67</v>
      </c>
      <c r="AC55" s="15" t="s">
        <v>52</v>
      </c>
      <c r="AD55" s="15" t="s">
        <v>53</v>
      </c>
      <c r="AE55" s="15" t="s">
        <v>54</v>
      </c>
      <c r="AF55" s="15" t="s">
        <v>55</v>
      </c>
      <c r="AG55" s="15"/>
      <c r="AH55" s="14" t="str">
        <f>VLOOKUP(B55,[1]Sheet1!$A$2:$F$294,6,FALSE)</f>
        <v>无</v>
      </c>
      <c r="AI55" s="14">
        <f>VLOOKUP(B55,[1]Sheet1!$A$2:$F$294,4,FALSE)</f>
        <v>0</v>
      </c>
      <c r="AJ55" s="14" t="str">
        <f>VLOOKUP(B55,[1]Sheet1!$A$2:$F$294,5,FALSE)</f>
        <v>无</v>
      </c>
    </row>
    <row r="56" s="2" customFormat="1" ht="14.25" spans="1:36">
      <c r="A56" s="11">
        <v>55</v>
      </c>
      <c r="B56" s="12">
        <v>22408000735</v>
      </c>
      <c r="C56" s="13" t="s">
        <v>337</v>
      </c>
      <c r="D56" s="14" t="s">
        <v>251</v>
      </c>
      <c r="E56" s="41" t="s">
        <v>338</v>
      </c>
      <c r="F56" s="14">
        <v>15173860031</v>
      </c>
      <c r="G56" s="15">
        <v>18007370838</v>
      </c>
      <c r="H56" s="15">
        <v>15307372048</v>
      </c>
      <c r="I56" s="14" t="s">
        <v>58</v>
      </c>
      <c r="J56" s="15">
        <v>2022080007</v>
      </c>
      <c r="K56" s="16" t="s">
        <v>297</v>
      </c>
      <c r="L56" s="14" t="s">
        <v>59</v>
      </c>
      <c r="M56" s="14" t="s">
        <v>206</v>
      </c>
      <c r="N56" s="14" t="s">
        <v>339</v>
      </c>
      <c r="O56" s="15">
        <v>2022</v>
      </c>
      <c r="P56" s="15" t="s">
        <v>41</v>
      </c>
      <c r="Q56" s="15" t="s">
        <v>340</v>
      </c>
      <c r="R56" s="15" t="s">
        <v>43</v>
      </c>
      <c r="S56" s="15" t="s">
        <v>341</v>
      </c>
      <c r="T56" s="15">
        <v>417799</v>
      </c>
      <c r="U56" s="15" t="s">
        <v>45</v>
      </c>
      <c r="V56" s="15" t="s">
        <v>58</v>
      </c>
      <c r="W56" s="15" t="s">
        <v>41</v>
      </c>
      <c r="X56" s="15" t="s">
        <v>47</v>
      </c>
      <c r="Y56" s="15" t="s">
        <v>291</v>
      </c>
      <c r="Z56" s="15" t="s">
        <v>49</v>
      </c>
      <c r="AA56" s="15" t="s">
        <v>50</v>
      </c>
      <c r="AB56" s="15" t="s">
        <v>67</v>
      </c>
      <c r="AC56" s="15" t="s">
        <v>52</v>
      </c>
      <c r="AD56" s="15" t="s">
        <v>53</v>
      </c>
      <c r="AE56" s="15" t="s">
        <v>54</v>
      </c>
      <c r="AF56" s="15" t="s">
        <v>55</v>
      </c>
      <c r="AG56" s="15"/>
      <c r="AH56" s="14" t="str">
        <f>VLOOKUP(B56,[1]Sheet1!$A$2:$F$294,6,FALSE)</f>
        <v>无</v>
      </c>
      <c r="AI56" s="14">
        <f>VLOOKUP(B56,[1]Sheet1!$A$2:$F$294,4,FALSE)</f>
        <v>0</v>
      </c>
      <c r="AJ56" s="14" t="str">
        <f>VLOOKUP(B56,[1]Sheet1!$A$2:$F$294,5,FALSE)</f>
        <v>无</v>
      </c>
    </row>
    <row r="57" s="2" customFormat="1" ht="14.25" spans="1:36">
      <c r="A57" s="11">
        <v>56</v>
      </c>
      <c r="B57" s="12">
        <v>22408000738</v>
      </c>
      <c r="C57" s="13" t="s">
        <v>342</v>
      </c>
      <c r="D57" s="14" t="s">
        <v>251</v>
      </c>
      <c r="E57" s="41" t="s">
        <v>343</v>
      </c>
      <c r="F57" s="14">
        <v>18188915095</v>
      </c>
      <c r="G57" s="15">
        <v>13875468125</v>
      </c>
      <c r="H57" s="15">
        <v>18390589183</v>
      </c>
      <c r="I57" s="14" t="s">
        <v>36</v>
      </c>
      <c r="J57" s="15">
        <v>2022080007</v>
      </c>
      <c r="K57" s="16" t="s">
        <v>297</v>
      </c>
      <c r="L57" s="14" t="s">
        <v>38</v>
      </c>
      <c r="M57" s="14" t="s">
        <v>39</v>
      </c>
      <c r="N57" s="14" t="s">
        <v>344</v>
      </c>
      <c r="O57" s="15">
        <v>2022</v>
      </c>
      <c r="P57" s="15" t="s">
        <v>41</v>
      </c>
      <c r="Q57" s="15" t="s">
        <v>158</v>
      </c>
      <c r="R57" s="15" t="s">
        <v>63</v>
      </c>
      <c r="S57" s="15" t="s">
        <v>345</v>
      </c>
      <c r="T57" s="15">
        <v>415000</v>
      </c>
      <c r="U57" s="15" t="s">
        <v>45</v>
      </c>
      <c r="V57" s="15" t="s">
        <v>36</v>
      </c>
      <c r="W57" s="15" t="s">
        <v>41</v>
      </c>
      <c r="X57" s="15" t="s">
        <v>47</v>
      </c>
      <c r="Y57" s="15" t="s">
        <v>257</v>
      </c>
      <c r="Z57" s="15" t="s">
        <v>75</v>
      </c>
      <c r="AA57" s="15" t="s">
        <v>50</v>
      </c>
      <c r="AB57" s="15" t="s">
        <v>67</v>
      </c>
      <c r="AC57" s="15" t="s">
        <v>52</v>
      </c>
      <c r="AD57" s="15" t="s">
        <v>53</v>
      </c>
      <c r="AE57" s="15" t="s">
        <v>54</v>
      </c>
      <c r="AF57" s="15" t="s">
        <v>55</v>
      </c>
      <c r="AG57" s="15"/>
      <c r="AH57" s="14" t="str">
        <f>VLOOKUP(B57,[1]Sheet1!$A$2:$F$294,6,FALSE)</f>
        <v>无</v>
      </c>
      <c r="AI57" s="14">
        <f>VLOOKUP(B57,[1]Sheet1!$A$2:$F$294,4,FALSE)</f>
        <v>0</v>
      </c>
      <c r="AJ57" s="14" t="str">
        <f>VLOOKUP(B57,[1]Sheet1!$A$2:$F$294,5,FALSE)</f>
        <v>无</v>
      </c>
    </row>
    <row r="58" s="2" customFormat="1" ht="14.25" spans="1:36">
      <c r="A58" s="11">
        <v>57</v>
      </c>
      <c r="B58" s="12">
        <v>22408000739</v>
      </c>
      <c r="C58" s="13" t="s">
        <v>346</v>
      </c>
      <c r="D58" s="14" t="s">
        <v>251</v>
      </c>
      <c r="E58" s="41" t="s">
        <v>347</v>
      </c>
      <c r="F58" s="14">
        <v>15581565628</v>
      </c>
      <c r="G58" s="15">
        <v>13873426216</v>
      </c>
      <c r="H58" s="15">
        <v>13657479408</v>
      </c>
      <c r="I58" s="14" t="s">
        <v>58</v>
      </c>
      <c r="J58" s="15">
        <v>2022080007</v>
      </c>
      <c r="K58" s="16" t="s">
        <v>297</v>
      </c>
      <c r="L58" s="14" t="s">
        <v>59</v>
      </c>
      <c r="M58" s="14" t="s">
        <v>206</v>
      </c>
      <c r="N58" s="14" t="s">
        <v>348</v>
      </c>
      <c r="O58" s="15">
        <v>2022</v>
      </c>
      <c r="P58" s="15" t="s">
        <v>41</v>
      </c>
      <c r="Q58" s="15" t="s">
        <v>289</v>
      </c>
      <c r="R58" s="15" t="s">
        <v>63</v>
      </c>
      <c r="S58" s="15" t="s">
        <v>349</v>
      </c>
      <c r="T58" s="15">
        <v>419518</v>
      </c>
      <c r="U58" s="15" t="s">
        <v>45</v>
      </c>
      <c r="V58" s="15" t="s">
        <v>58</v>
      </c>
      <c r="W58" s="15" t="s">
        <v>41</v>
      </c>
      <c r="X58" s="15" t="s">
        <v>74</v>
      </c>
      <c r="Y58" s="15" t="s">
        <v>291</v>
      </c>
      <c r="Z58" s="15" t="s">
        <v>49</v>
      </c>
      <c r="AA58" s="15" t="s">
        <v>50</v>
      </c>
      <c r="AB58" s="15" t="s">
        <v>67</v>
      </c>
      <c r="AC58" s="15" t="s">
        <v>52</v>
      </c>
      <c r="AD58" s="15" t="s">
        <v>53</v>
      </c>
      <c r="AE58" s="15" t="s">
        <v>54</v>
      </c>
      <c r="AF58" s="15" t="s">
        <v>55</v>
      </c>
      <c r="AG58" s="15"/>
      <c r="AH58" s="14" t="str">
        <f>VLOOKUP(B58,[1]Sheet1!$A$2:$F$294,6,FALSE)</f>
        <v>无</v>
      </c>
      <c r="AI58" s="14">
        <f>VLOOKUP(B58,[1]Sheet1!$A$2:$F$294,4,FALSE)</f>
        <v>0</v>
      </c>
      <c r="AJ58" s="14" t="str">
        <f>VLOOKUP(B58,[1]Sheet1!$A$2:$F$294,5,FALSE)</f>
        <v>无</v>
      </c>
    </row>
    <row r="59" s="2" customFormat="1" ht="14.25" spans="1:36">
      <c r="A59" s="11">
        <v>58</v>
      </c>
      <c r="B59" s="12">
        <v>22408000742</v>
      </c>
      <c r="C59" s="13" t="s">
        <v>350</v>
      </c>
      <c r="D59" s="14" t="s">
        <v>251</v>
      </c>
      <c r="E59" s="41" t="s">
        <v>351</v>
      </c>
      <c r="F59" s="14">
        <v>17873067517</v>
      </c>
      <c r="G59" s="15">
        <v>17674538668</v>
      </c>
      <c r="H59" s="15">
        <v>17674500828</v>
      </c>
      <c r="I59" s="14" t="s">
        <v>58</v>
      </c>
      <c r="J59" s="15">
        <v>2022080007</v>
      </c>
      <c r="K59" s="16" t="s">
        <v>297</v>
      </c>
      <c r="L59" s="14" t="s">
        <v>59</v>
      </c>
      <c r="M59" s="14" t="s">
        <v>206</v>
      </c>
      <c r="N59" s="14" t="s">
        <v>352</v>
      </c>
      <c r="O59" s="15">
        <v>2022</v>
      </c>
      <c r="P59" s="15" t="s">
        <v>41</v>
      </c>
      <c r="Q59" s="15" t="s">
        <v>255</v>
      </c>
      <c r="R59" s="15" t="s">
        <v>43</v>
      </c>
      <c r="S59" s="15" t="s">
        <v>353</v>
      </c>
      <c r="T59" s="15">
        <v>414400</v>
      </c>
      <c r="U59" s="15" t="s">
        <v>45</v>
      </c>
      <c r="V59" s="15" t="s">
        <v>58</v>
      </c>
      <c r="W59" s="15" t="s">
        <v>41</v>
      </c>
      <c r="X59" s="15" t="s">
        <v>74</v>
      </c>
      <c r="Y59" s="15" t="s">
        <v>291</v>
      </c>
      <c r="Z59" s="15" t="s">
        <v>49</v>
      </c>
      <c r="AA59" s="15" t="s">
        <v>50</v>
      </c>
      <c r="AB59" s="15" t="s">
        <v>67</v>
      </c>
      <c r="AC59" s="15" t="s">
        <v>52</v>
      </c>
      <c r="AD59" s="15" t="s">
        <v>53</v>
      </c>
      <c r="AE59" s="15" t="s">
        <v>54</v>
      </c>
      <c r="AF59" s="15" t="s">
        <v>55</v>
      </c>
      <c r="AG59" s="15"/>
      <c r="AH59" s="14" t="str">
        <f>VLOOKUP(B59,[1]Sheet1!$A$2:$F$294,6,FALSE)</f>
        <v>无</v>
      </c>
      <c r="AI59" s="14">
        <f>VLOOKUP(B59,[1]Sheet1!$A$2:$F$294,4,FALSE)</f>
        <v>0</v>
      </c>
      <c r="AJ59" s="14" t="str">
        <f>VLOOKUP(B59,[1]Sheet1!$A$2:$F$294,5,FALSE)</f>
        <v>无</v>
      </c>
    </row>
    <row r="60" s="2" customFormat="1" ht="14.25" spans="1:36">
      <c r="A60" s="11">
        <v>59</v>
      </c>
      <c r="B60" s="12">
        <v>22408000806</v>
      </c>
      <c r="C60" s="13" t="s">
        <v>354</v>
      </c>
      <c r="D60" s="14" t="s">
        <v>251</v>
      </c>
      <c r="E60" s="15" t="s">
        <v>355</v>
      </c>
      <c r="F60" s="14">
        <v>15387549968</v>
      </c>
      <c r="G60" s="15">
        <v>13787786430</v>
      </c>
      <c r="H60" s="15">
        <v>15308487846</v>
      </c>
      <c r="I60" s="14" t="s">
        <v>58</v>
      </c>
      <c r="J60" s="15">
        <v>2022080008</v>
      </c>
      <c r="K60" s="16" t="s">
        <v>356</v>
      </c>
      <c r="L60" s="14" t="s">
        <v>59</v>
      </c>
      <c r="M60" s="14" t="s">
        <v>152</v>
      </c>
      <c r="N60" s="14" t="s">
        <v>357</v>
      </c>
      <c r="O60" s="15">
        <v>2022</v>
      </c>
      <c r="P60" s="15" t="s">
        <v>41</v>
      </c>
      <c r="Q60" s="15" t="s">
        <v>358</v>
      </c>
      <c r="R60" s="15" t="s">
        <v>63</v>
      </c>
      <c r="S60" s="15" t="s">
        <v>359</v>
      </c>
      <c r="T60" s="15">
        <v>410329</v>
      </c>
      <c r="U60" s="15" t="s">
        <v>45</v>
      </c>
      <c r="V60" s="15" t="s">
        <v>58</v>
      </c>
      <c r="W60" s="15" t="s">
        <v>46</v>
      </c>
      <c r="X60" s="15" t="s">
        <v>74</v>
      </c>
      <c r="Y60" s="15" t="s">
        <v>47</v>
      </c>
      <c r="Z60" s="15" t="s">
        <v>75</v>
      </c>
      <c r="AA60" s="15" t="s">
        <v>50</v>
      </c>
      <c r="AB60" s="15" t="s">
        <v>67</v>
      </c>
      <c r="AC60" s="15" t="s">
        <v>52</v>
      </c>
      <c r="AD60" s="15" t="s">
        <v>53</v>
      </c>
      <c r="AE60" s="15" t="s">
        <v>54</v>
      </c>
      <c r="AF60" s="15" t="s">
        <v>55</v>
      </c>
      <c r="AG60" s="15" t="s">
        <v>244</v>
      </c>
      <c r="AH60" s="14" t="str">
        <f>VLOOKUP(B60,[1]Sheet1!$A$2:$F$294,6,FALSE)</f>
        <v>无</v>
      </c>
      <c r="AI60" s="14">
        <f>VLOOKUP(B60,[1]Sheet1!$A$2:$F$294,4,FALSE)</f>
        <v>2</v>
      </c>
      <c r="AJ60" s="14" t="str">
        <f>VLOOKUP(B60,[1]Sheet1!$A$2:$F$294,5,FALSE)</f>
        <v>汇编语言程序设计,面向对象程序设计</v>
      </c>
    </row>
    <row r="61" s="2" customFormat="1" ht="14.25" spans="1:36">
      <c r="A61" s="11">
        <v>60</v>
      </c>
      <c r="B61" s="12">
        <v>22408000809</v>
      </c>
      <c r="C61" s="13" t="s">
        <v>360</v>
      </c>
      <c r="D61" s="14" t="s">
        <v>251</v>
      </c>
      <c r="E61" s="41" t="s">
        <v>361</v>
      </c>
      <c r="F61" s="14">
        <v>18673328132</v>
      </c>
      <c r="G61" s="15">
        <v>17738303251</v>
      </c>
      <c r="H61" s="15">
        <v>18095097139</v>
      </c>
      <c r="I61" s="14" t="s">
        <v>58</v>
      </c>
      <c r="J61" s="15">
        <v>2022080008</v>
      </c>
      <c r="K61" s="16" t="s">
        <v>356</v>
      </c>
      <c r="L61" s="14" t="s">
        <v>59</v>
      </c>
      <c r="M61" s="14" t="s">
        <v>152</v>
      </c>
      <c r="N61" s="14" t="s">
        <v>357</v>
      </c>
      <c r="O61" s="15">
        <v>2022</v>
      </c>
      <c r="P61" s="15" t="s">
        <v>41</v>
      </c>
      <c r="Q61" s="15" t="s">
        <v>362</v>
      </c>
      <c r="R61" s="15" t="s">
        <v>63</v>
      </c>
      <c r="S61" s="15" t="s">
        <v>363</v>
      </c>
      <c r="T61" s="15">
        <v>625100</v>
      </c>
      <c r="U61" s="15" t="s">
        <v>364</v>
      </c>
      <c r="V61" s="15" t="s">
        <v>58</v>
      </c>
      <c r="W61" s="15" t="s">
        <v>46</v>
      </c>
      <c r="X61" s="15" t="s">
        <v>47</v>
      </c>
      <c r="Y61" s="15" t="s">
        <v>47</v>
      </c>
      <c r="Z61" s="15" t="s">
        <v>75</v>
      </c>
      <c r="AA61" s="15" t="s">
        <v>50</v>
      </c>
      <c r="AB61" s="15" t="s">
        <v>67</v>
      </c>
      <c r="AC61" s="15" t="s">
        <v>52</v>
      </c>
      <c r="AD61" s="15" t="s">
        <v>53</v>
      </c>
      <c r="AE61" s="15" t="s">
        <v>54</v>
      </c>
      <c r="AF61" s="15" t="s">
        <v>55</v>
      </c>
      <c r="AG61" s="15"/>
      <c r="AH61" s="14" t="str">
        <f>VLOOKUP(B61,[1]Sheet1!$A$2:$F$294,6,FALSE)</f>
        <v>无</v>
      </c>
      <c r="AI61" s="14">
        <f>VLOOKUP(B61,[1]Sheet1!$A$2:$F$294,4,FALSE)</f>
        <v>0</v>
      </c>
      <c r="AJ61" s="14" t="str">
        <f>VLOOKUP(B61,[1]Sheet1!$A$2:$F$294,5,FALSE)</f>
        <v>无</v>
      </c>
    </row>
    <row r="62" s="2" customFormat="1" ht="14.25" spans="1:36">
      <c r="A62" s="11">
        <v>61</v>
      </c>
      <c r="B62" s="12">
        <v>22408000810</v>
      </c>
      <c r="C62" s="13" t="s">
        <v>365</v>
      </c>
      <c r="D62" s="14" t="s">
        <v>251</v>
      </c>
      <c r="E62" s="41" t="s">
        <v>366</v>
      </c>
      <c r="F62" s="14">
        <v>18670909856</v>
      </c>
      <c r="G62" s="15">
        <v>13307490442</v>
      </c>
      <c r="H62" s="15">
        <v>18608482708</v>
      </c>
      <c r="I62" s="14" t="s">
        <v>58</v>
      </c>
      <c r="J62" s="15">
        <v>2022080008</v>
      </c>
      <c r="K62" s="16" t="s">
        <v>356</v>
      </c>
      <c r="L62" s="14" t="s">
        <v>59</v>
      </c>
      <c r="M62" s="14" t="s">
        <v>152</v>
      </c>
      <c r="N62" s="14" t="s">
        <v>357</v>
      </c>
      <c r="O62" s="15">
        <v>2022</v>
      </c>
      <c r="P62" s="15" t="s">
        <v>41</v>
      </c>
      <c r="Q62" s="15" t="s">
        <v>367</v>
      </c>
      <c r="R62" s="15" t="s">
        <v>63</v>
      </c>
      <c r="S62" s="15" t="s">
        <v>368</v>
      </c>
      <c r="T62" s="15">
        <v>411399</v>
      </c>
      <c r="U62" s="15" t="s">
        <v>45</v>
      </c>
      <c r="V62" s="15" t="s">
        <v>58</v>
      </c>
      <c r="W62" s="15" t="s">
        <v>46</v>
      </c>
      <c r="X62" s="15" t="s">
        <v>74</v>
      </c>
      <c r="Y62" s="15" t="s">
        <v>47</v>
      </c>
      <c r="Z62" s="15" t="s">
        <v>75</v>
      </c>
      <c r="AA62" s="15" t="s">
        <v>50</v>
      </c>
      <c r="AB62" s="15" t="s">
        <v>67</v>
      </c>
      <c r="AC62" s="15" t="s">
        <v>52</v>
      </c>
      <c r="AD62" s="15" t="s">
        <v>53</v>
      </c>
      <c r="AE62" s="15" t="s">
        <v>54</v>
      </c>
      <c r="AF62" s="15" t="s">
        <v>55</v>
      </c>
      <c r="AG62" s="15"/>
      <c r="AH62" s="14" t="str">
        <f>VLOOKUP(B62,[1]Sheet1!$A$2:$F$294,6,FALSE)</f>
        <v>无</v>
      </c>
      <c r="AI62" s="14">
        <f>VLOOKUP(B62,[1]Sheet1!$A$2:$F$294,4,FALSE)</f>
        <v>0</v>
      </c>
      <c r="AJ62" s="14" t="str">
        <f>VLOOKUP(B62,[1]Sheet1!$A$2:$F$294,5,FALSE)</f>
        <v>无</v>
      </c>
    </row>
    <row r="63" s="2" customFormat="1" ht="14.25" spans="1:36">
      <c r="A63" s="11">
        <v>62</v>
      </c>
      <c r="B63" s="12">
        <v>22408000815</v>
      </c>
      <c r="C63" s="13" t="s">
        <v>369</v>
      </c>
      <c r="D63" s="14" t="s">
        <v>251</v>
      </c>
      <c r="E63" s="41" t="s">
        <v>370</v>
      </c>
      <c r="F63" s="14">
        <v>13368732342</v>
      </c>
      <c r="G63" s="15">
        <v>13887347342</v>
      </c>
      <c r="H63" s="15">
        <v>13649636076</v>
      </c>
      <c r="I63" s="14" t="s">
        <v>58</v>
      </c>
      <c r="J63" s="15">
        <v>2022080008</v>
      </c>
      <c r="K63" s="16" t="s">
        <v>356</v>
      </c>
      <c r="L63" s="14" t="s">
        <v>59</v>
      </c>
      <c r="M63" s="14" t="s">
        <v>152</v>
      </c>
      <c r="N63" s="14" t="s">
        <v>371</v>
      </c>
      <c r="O63" s="15">
        <v>2022</v>
      </c>
      <c r="P63" s="15" t="s">
        <v>41</v>
      </c>
      <c r="Q63" s="15" t="s">
        <v>372</v>
      </c>
      <c r="R63" s="15" t="s">
        <v>43</v>
      </c>
      <c r="S63" s="15" t="s">
        <v>373</v>
      </c>
      <c r="T63" s="15">
        <v>652399</v>
      </c>
      <c r="U63" s="15" t="s">
        <v>196</v>
      </c>
      <c r="V63" s="15" t="s">
        <v>58</v>
      </c>
      <c r="W63" s="15" t="s">
        <v>46</v>
      </c>
      <c r="X63" s="15" t="s">
        <v>47</v>
      </c>
      <c r="Y63" s="15" t="s">
        <v>48</v>
      </c>
      <c r="Z63" s="15" t="s">
        <v>49</v>
      </c>
      <c r="AA63" s="15" t="s">
        <v>50</v>
      </c>
      <c r="AB63" s="15" t="s">
        <v>51</v>
      </c>
      <c r="AC63" s="15" t="s">
        <v>52</v>
      </c>
      <c r="AD63" s="15" t="s">
        <v>53</v>
      </c>
      <c r="AE63" s="15" t="s">
        <v>54</v>
      </c>
      <c r="AF63" s="15" t="s">
        <v>55</v>
      </c>
      <c r="AG63" s="15"/>
      <c r="AH63" s="14" t="str">
        <f>VLOOKUP(B63,[1]Sheet1!$A$2:$F$294,6,FALSE)</f>
        <v>无</v>
      </c>
      <c r="AI63" s="14">
        <f>VLOOKUP(B63,[1]Sheet1!$A$2:$F$294,4,FALSE)</f>
        <v>0</v>
      </c>
      <c r="AJ63" s="14" t="str">
        <f>VLOOKUP(B63,[1]Sheet1!$A$2:$F$294,5,FALSE)</f>
        <v>无</v>
      </c>
    </row>
    <row r="64" s="2" customFormat="1" ht="14.25" spans="1:36">
      <c r="A64" s="11">
        <v>63</v>
      </c>
      <c r="B64" s="12">
        <v>22408000816</v>
      </c>
      <c r="C64" s="13" t="s">
        <v>374</v>
      </c>
      <c r="D64" s="14" t="s">
        <v>251</v>
      </c>
      <c r="E64" s="41" t="s">
        <v>375</v>
      </c>
      <c r="F64" s="14">
        <v>19891934749</v>
      </c>
      <c r="G64" s="15">
        <v>13975016176</v>
      </c>
      <c r="H64" s="15">
        <v>13975014350</v>
      </c>
      <c r="I64" s="14" t="s">
        <v>58</v>
      </c>
      <c r="J64" s="15">
        <v>2022080008</v>
      </c>
      <c r="K64" s="16" t="s">
        <v>356</v>
      </c>
      <c r="L64" s="14" t="s">
        <v>59</v>
      </c>
      <c r="M64" s="14" t="s">
        <v>152</v>
      </c>
      <c r="N64" s="14" t="s">
        <v>376</v>
      </c>
      <c r="O64" s="15">
        <v>2022</v>
      </c>
      <c r="P64" s="15" t="s">
        <v>41</v>
      </c>
      <c r="Q64" s="15" t="s">
        <v>255</v>
      </c>
      <c r="R64" s="15" t="s">
        <v>63</v>
      </c>
      <c r="S64" s="15" t="s">
        <v>377</v>
      </c>
      <c r="T64" s="15">
        <v>414000</v>
      </c>
      <c r="U64" s="15" t="s">
        <v>45</v>
      </c>
      <c r="V64" s="15" t="s">
        <v>58</v>
      </c>
      <c r="W64" s="15" t="s">
        <v>46</v>
      </c>
      <c r="X64" s="15" t="s">
        <v>74</v>
      </c>
      <c r="Y64" s="15" t="s">
        <v>48</v>
      </c>
      <c r="Z64" s="15" t="s">
        <v>49</v>
      </c>
      <c r="AA64" s="15" t="s">
        <v>50</v>
      </c>
      <c r="AB64" s="15" t="s">
        <v>67</v>
      </c>
      <c r="AC64" s="15" t="s">
        <v>52</v>
      </c>
      <c r="AD64" s="15" t="s">
        <v>53</v>
      </c>
      <c r="AE64" s="15" t="s">
        <v>54</v>
      </c>
      <c r="AF64" s="15" t="s">
        <v>55</v>
      </c>
      <c r="AG64" s="15"/>
      <c r="AH64" s="14" t="str">
        <f>VLOOKUP(B64,[1]Sheet1!$A$2:$F$294,6,FALSE)</f>
        <v>无</v>
      </c>
      <c r="AI64" s="14">
        <f>VLOOKUP(B64,[1]Sheet1!$A$2:$F$294,4,FALSE)</f>
        <v>0</v>
      </c>
      <c r="AJ64" s="14" t="str">
        <f>VLOOKUP(B64,[1]Sheet1!$A$2:$F$294,5,FALSE)</f>
        <v>无</v>
      </c>
    </row>
    <row r="65" s="2" customFormat="1" ht="14.25" spans="1:36">
      <c r="A65" s="11">
        <v>64</v>
      </c>
      <c r="B65" s="12">
        <v>22408000819</v>
      </c>
      <c r="C65" s="13" t="s">
        <v>378</v>
      </c>
      <c r="D65" s="14" t="s">
        <v>251</v>
      </c>
      <c r="E65" s="41" t="s">
        <v>379</v>
      </c>
      <c r="F65" s="14">
        <v>17873978775</v>
      </c>
      <c r="G65" s="15">
        <v>18073902140</v>
      </c>
      <c r="H65" s="15">
        <v>19118117101</v>
      </c>
      <c r="I65" s="14" t="s">
        <v>58</v>
      </c>
      <c r="J65" s="15">
        <v>2022080008</v>
      </c>
      <c r="K65" s="16" t="s">
        <v>356</v>
      </c>
      <c r="L65" s="14" t="s">
        <v>59</v>
      </c>
      <c r="M65" s="14" t="s">
        <v>152</v>
      </c>
      <c r="N65" s="14" t="s">
        <v>376</v>
      </c>
      <c r="O65" s="15">
        <v>2022</v>
      </c>
      <c r="P65" s="15" t="s">
        <v>41</v>
      </c>
      <c r="Q65" s="15" t="s">
        <v>194</v>
      </c>
      <c r="R65" s="15" t="s">
        <v>43</v>
      </c>
      <c r="S65" s="15" t="s">
        <v>380</v>
      </c>
      <c r="T65" s="15">
        <v>422800</v>
      </c>
      <c r="U65" s="15" t="s">
        <v>45</v>
      </c>
      <c r="V65" s="15" t="s">
        <v>58</v>
      </c>
      <c r="W65" s="15" t="s">
        <v>46</v>
      </c>
      <c r="X65" s="15" t="s">
        <v>74</v>
      </c>
      <c r="Y65" s="15" t="s">
        <v>48</v>
      </c>
      <c r="Z65" s="15" t="s">
        <v>49</v>
      </c>
      <c r="AA65" s="15" t="s">
        <v>50</v>
      </c>
      <c r="AB65" s="15" t="s">
        <v>67</v>
      </c>
      <c r="AC65" s="15" t="s">
        <v>52</v>
      </c>
      <c r="AD65" s="15" t="s">
        <v>53</v>
      </c>
      <c r="AE65" s="15" t="s">
        <v>54</v>
      </c>
      <c r="AF65" s="15" t="s">
        <v>55</v>
      </c>
      <c r="AG65" s="15"/>
      <c r="AH65" s="14" t="str">
        <f>VLOOKUP(B65,[1]Sheet1!$A$2:$F$294,6,FALSE)</f>
        <v>无</v>
      </c>
      <c r="AI65" s="14">
        <f>VLOOKUP(B65,[1]Sheet1!$A$2:$F$294,4,FALSE)</f>
        <v>1</v>
      </c>
      <c r="AJ65" s="14" t="str">
        <f>VLOOKUP(B65,[1]Sheet1!$A$2:$F$294,5,FALSE)</f>
        <v>软件工程</v>
      </c>
    </row>
    <row r="66" s="2" customFormat="1" ht="14.25" spans="1:36">
      <c r="A66" s="11">
        <v>65</v>
      </c>
      <c r="B66" s="12">
        <v>22408000822</v>
      </c>
      <c r="C66" s="13" t="s">
        <v>381</v>
      </c>
      <c r="D66" s="14" t="s">
        <v>251</v>
      </c>
      <c r="E66" s="41" t="s">
        <v>382</v>
      </c>
      <c r="F66" s="14">
        <v>18890157683</v>
      </c>
      <c r="G66" s="15" t="s">
        <v>383</v>
      </c>
      <c r="H66" s="15">
        <v>18390435762</v>
      </c>
      <c r="I66" s="14" t="s">
        <v>58</v>
      </c>
      <c r="J66" s="15">
        <v>2022080008</v>
      </c>
      <c r="K66" s="16" t="s">
        <v>356</v>
      </c>
      <c r="L66" s="14" t="s">
        <v>59</v>
      </c>
      <c r="M66" s="14" t="s">
        <v>152</v>
      </c>
      <c r="N66" s="14" t="s">
        <v>384</v>
      </c>
      <c r="O66" s="15">
        <v>2022</v>
      </c>
      <c r="P66" s="15" t="s">
        <v>41</v>
      </c>
      <c r="Q66" s="15" t="s">
        <v>194</v>
      </c>
      <c r="R66" s="15" t="s">
        <v>63</v>
      </c>
      <c r="S66" s="15" t="s">
        <v>385</v>
      </c>
      <c r="T66" s="15">
        <v>422400</v>
      </c>
      <c r="U66" s="15" t="s">
        <v>45</v>
      </c>
      <c r="V66" s="15" t="s">
        <v>58</v>
      </c>
      <c r="W66" s="15" t="s">
        <v>46</v>
      </c>
      <c r="X66" s="15" t="s">
        <v>74</v>
      </c>
      <c r="Y66" s="15" t="s">
        <v>48</v>
      </c>
      <c r="Z66" s="15" t="s">
        <v>75</v>
      </c>
      <c r="AA66" s="15" t="s">
        <v>50</v>
      </c>
      <c r="AB66" s="15" t="s">
        <v>67</v>
      </c>
      <c r="AC66" s="15" t="s">
        <v>52</v>
      </c>
      <c r="AD66" s="15" t="s">
        <v>53</v>
      </c>
      <c r="AE66" s="15" t="s">
        <v>54</v>
      </c>
      <c r="AF66" s="15" t="s">
        <v>55</v>
      </c>
      <c r="AG66" s="15"/>
      <c r="AH66" s="14" t="str">
        <f>VLOOKUP(B66,[1]Sheet1!$A$2:$F$294,6,FALSE)</f>
        <v>无</v>
      </c>
      <c r="AI66" s="14">
        <f>VLOOKUP(B66,[1]Sheet1!$A$2:$F$294,4,FALSE)</f>
        <v>0</v>
      </c>
      <c r="AJ66" s="14" t="str">
        <f>VLOOKUP(B66,[1]Sheet1!$A$2:$F$294,5,FALSE)</f>
        <v>无</v>
      </c>
    </row>
    <row r="67" s="2" customFormat="1" ht="14.25" spans="1:36">
      <c r="A67" s="11">
        <v>66</v>
      </c>
      <c r="B67" s="12">
        <v>22408000825</v>
      </c>
      <c r="C67" s="13" t="s">
        <v>386</v>
      </c>
      <c r="D67" s="14" t="s">
        <v>251</v>
      </c>
      <c r="E67" s="41" t="s">
        <v>387</v>
      </c>
      <c r="F67" s="14">
        <v>15570791506</v>
      </c>
      <c r="G67" s="15">
        <v>18274995081</v>
      </c>
      <c r="H67" s="15">
        <v>18229760273</v>
      </c>
      <c r="I67" s="14" t="s">
        <v>36</v>
      </c>
      <c r="J67" s="15">
        <v>2022080008</v>
      </c>
      <c r="K67" s="16" t="s">
        <v>356</v>
      </c>
      <c r="L67" s="14" t="s">
        <v>38</v>
      </c>
      <c r="M67" s="14" t="s">
        <v>39</v>
      </c>
      <c r="N67" s="14" t="s">
        <v>388</v>
      </c>
      <c r="O67" s="15">
        <v>2022</v>
      </c>
      <c r="P67" s="15" t="s">
        <v>41</v>
      </c>
      <c r="Q67" s="15" t="s">
        <v>110</v>
      </c>
      <c r="R67" s="15" t="s">
        <v>43</v>
      </c>
      <c r="S67" s="15" t="s">
        <v>389</v>
      </c>
      <c r="T67" s="15">
        <v>410600</v>
      </c>
      <c r="U67" s="15" t="s">
        <v>45</v>
      </c>
      <c r="V67" s="15" t="s">
        <v>36</v>
      </c>
      <c r="W67" s="15" t="s">
        <v>46</v>
      </c>
      <c r="X67" s="15" t="s">
        <v>74</v>
      </c>
      <c r="Y67" s="15" t="s">
        <v>88</v>
      </c>
      <c r="Z67" s="15" t="s">
        <v>75</v>
      </c>
      <c r="AA67" s="15" t="s">
        <v>50</v>
      </c>
      <c r="AB67" s="15" t="s">
        <v>67</v>
      </c>
      <c r="AC67" s="15" t="s">
        <v>52</v>
      </c>
      <c r="AD67" s="15" t="s">
        <v>53</v>
      </c>
      <c r="AE67" s="15" t="s">
        <v>54</v>
      </c>
      <c r="AF67" s="15" t="s">
        <v>55</v>
      </c>
      <c r="AG67" s="15"/>
      <c r="AH67" s="14" t="str">
        <f>VLOOKUP(B67,[1]Sheet1!$A$2:$F$294,6,FALSE)</f>
        <v>无</v>
      </c>
      <c r="AI67" s="14">
        <f>VLOOKUP(B67,[1]Sheet1!$A$2:$F$294,4,FALSE)</f>
        <v>0</v>
      </c>
      <c r="AJ67" s="14" t="str">
        <f>VLOOKUP(B67,[1]Sheet1!$A$2:$F$294,5,FALSE)</f>
        <v>无</v>
      </c>
    </row>
    <row r="68" s="2" customFormat="1" ht="14.25" spans="1:36">
      <c r="A68" s="11">
        <v>67</v>
      </c>
      <c r="B68" s="12">
        <v>22408000826</v>
      </c>
      <c r="C68" s="13" t="s">
        <v>390</v>
      </c>
      <c r="D68" s="14" t="s">
        <v>251</v>
      </c>
      <c r="E68" s="41" t="s">
        <v>391</v>
      </c>
      <c r="F68" s="14">
        <v>13874616773</v>
      </c>
      <c r="G68" s="15">
        <v>18707407549</v>
      </c>
      <c r="H68" s="15">
        <v>18797683474</v>
      </c>
      <c r="I68" s="14" t="s">
        <v>58</v>
      </c>
      <c r="J68" s="15">
        <v>2022080008</v>
      </c>
      <c r="K68" s="16" t="s">
        <v>356</v>
      </c>
      <c r="L68" s="14" t="s">
        <v>59</v>
      </c>
      <c r="M68" s="14" t="s">
        <v>152</v>
      </c>
      <c r="N68" s="14" t="s">
        <v>384</v>
      </c>
      <c r="O68" s="15">
        <v>2022</v>
      </c>
      <c r="P68" s="15" t="s">
        <v>41</v>
      </c>
      <c r="Q68" s="15" t="s">
        <v>115</v>
      </c>
      <c r="R68" s="15" t="s">
        <v>63</v>
      </c>
      <c r="S68" s="15" t="s">
        <v>392</v>
      </c>
      <c r="T68" s="15">
        <v>425600</v>
      </c>
      <c r="U68" s="15" t="s">
        <v>45</v>
      </c>
      <c r="V68" s="15" t="s">
        <v>58</v>
      </c>
      <c r="W68" s="15" t="s">
        <v>46</v>
      </c>
      <c r="X68" s="15" t="s">
        <v>74</v>
      </c>
      <c r="Y68" s="15" t="s">
        <v>48</v>
      </c>
      <c r="Z68" s="15" t="s">
        <v>49</v>
      </c>
      <c r="AA68" s="15" t="s">
        <v>50</v>
      </c>
      <c r="AB68" s="15" t="s">
        <v>67</v>
      </c>
      <c r="AC68" s="15" t="s">
        <v>52</v>
      </c>
      <c r="AD68" s="15" t="s">
        <v>53</v>
      </c>
      <c r="AE68" s="15" t="s">
        <v>54</v>
      </c>
      <c r="AF68" s="15" t="s">
        <v>55</v>
      </c>
      <c r="AG68" s="15"/>
      <c r="AH68" s="14" t="str">
        <f>VLOOKUP(B68,[1]Sheet1!$A$2:$F$294,6,FALSE)</f>
        <v>无</v>
      </c>
      <c r="AI68" s="14">
        <f>VLOOKUP(B68,[1]Sheet1!$A$2:$F$294,4,FALSE)</f>
        <v>0</v>
      </c>
      <c r="AJ68" s="14" t="str">
        <f>VLOOKUP(B68,[1]Sheet1!$A$2:$F$294,5,FALSE)</f>
        <v>无</v>
      </c>
    </row>
    <row r="69" s="2" customFormat="1" ht="14.25" spans="1:36">
      <c r="A69" s="11">
        <v>68</v>
      </c>
      <c r="B69" s="12">
        <v>22408000827</v>
      </c>
      <c r="C69" s="13" t="s">
        <v>393</v>
      </c>
      <c r="D69" s="14" t="s">
        <v>251</v>
      </c>
      <c r="E69" s="15" t="s">
        <v>394</v>
      </c>
      <c r="F69" s="14">
        <v>15083733013</v>
      </c>
      <c r="G69" s="15" t="s">
        <v>239</v>
      </c>
      <c r="H69" s="15">
        <v>15970805334</v>
      </c>
      <c r="I69" s="14" t="s">
        <v>58</v>
      </c>
      <c r="J69" s="15">
        <v>2022080008</v>
      </c>
      <c r="K69" s="16" t="s">
        <v>356</v>
      </c>
      <c r="L69" s="14" t="s">
        <v>59</v>
      </c>
      <c r="M69" s="14" t="s">
        <v>152</v>
      </c>
      <c r="N69" s="14" t="s">
        <v>395</v>
      </c>
      <c r="O69" s="15">
        <v>2022</v>
      </c>
      <c r="P69" s="15" t="s">
        <v>41</v>
      </c>
      <c r="Q69" s="15" t="s">
        <v>396</v>
      </c>
      <c r="R69" s="15" t="s">
        <v>63</v>
      </c>
      <c r="S69" s="15" t="s">
        <v>397</v>
      </c>
      <c r="T69" s="15">
        <v>342400</v>
      </c>
      <c r="U69" s="15" t="s">
        <v>176</v>
      </c>
      <c r="V69" s="15" t="s">
        <v>58</v>
      </c>
      <c r="W69" s="15" t="s">
        <v>46</v>
      </c>
      <c r="X69" s="15" t="s">
        <v>47</v>
      </c>
      <c r="Y69" s="15" t="s">
        <v>48</v>
      </c>
      <c r="Z69" s="15" t="s">
        <v>49</v>
      </c>
      <c r="AA69" s="15" t="s">
        <v>50</v>
      </c>
      <c r="AB69" s="15" t="s">
        <v>67</v>
      </c>
      <c r="AC69" s="15" t="s">
        <v>398</v>
      </c>
      <c r="AD69" s="15" t="s">
        <v>53</v>
      </c>
      <c r="AE69" s="15" t="s">
        <v>54</v>
      </c>
      <c r="AF69" s="15" t="s">
        <v>55</v>
      </c>
      <c r="AG69" s="15"/>
      <c r="AH69" s="14" t="str">
        <f>VLOOKUP(B69,[1]Sheet1!$A$2:$F$294,6,FALSE)</f>
        <v>特别困难</v>
      </c>
      <c r="AI69" s="14">
        <f>VLOOKUP(B69,[1]Sheet1!$A$2:$F$294,4,FALSE)</f>
        <v>0</v>
      </c>
      <c r="AJ69" s="14" t="str">
        <f>VLOOKUP(B69,[1]Sheet1!$A$2:$F$294,5,FALSE)</f>
        <v>无</v>
      </c>
    </row>
    <row r="70" s="2" customFormat="1" ht="14.25" spans="1:36">
      <c r="A70" s="11">
        <v>69</v>
      </c>
      <c r="B70" s="12">
        <v>22408000834</v>
      </c>
      <c r="C70" s="13" t="s">
        <v>399</v>
      </c>
      <c r="D70" s="14" t="s">
        <v>251</v>
      </c>
      <c r="E70" s="41" t="s">
        <v>400</v>
      </c>
      <c r="F70" s="14">
        <v>19109354931</v>
      </c>
      <c r="G70" s="15">
        <v>13830512675</v>
      </c>
      <c r="H70" s="15">
        <v>13893503265</v>
      </c>
      <c r="I70" s="14" t="s">
        <v>58</v>
      </c>
      <c r="J70" s="15">
        <v>2022080008</v>
      </c>
      <c r="K70" s="16" t="s">
        <v>356</v>
      </c>
      <c r="L70" s="14" t="s">
        <v>59</v>
      </c>
      <c r="M70" s="14" t="s">
        <v>152</v>
      </c>
      <c r="N70" s="14" t="s">
        <v>395</v>
      </c>
      <c r="O70" s="15">
        <v>2022</v>
      </c>
      <c r="P70" s="15" t="s">
        <v>41</v>
      </c>
      <c r="Q70" s="15" t="s">
        <v>401</v>
      </c>
      <c r="R70" s="15" t="s">
        <v>43</v>
      </c>
      <c r="S70" s="15" t="s">
        <v>402</v>
      </c>
      <c r="T70" s="15">
        <v>733000</v>
      </c>
      <c r="U70" s="15" t="s">
        <v>331</v>
      </c>
      <c r="V70" s="15" t="s">
        <v>58</v>
      </c>
      <c r="W70" s="15" t="s">
        <v>46</v>
      </c>
      <c r="X70" s="15" t="s">
        <v>47</v>
      </c>
      <c r="Y70" s="15" t="s">
        <v>88</v>
      </c>
      <c r="Z70" s="15" t="s">
        <v>49</v>
      </c>
      <c r="AA70" s="15" t="s">
        <v>50</v>
      </c>
      <c r="AB70" s="15" t="s">
        <v>51</v>
      </c>
      <c r="AC70" s="15" t="s">
        <v>52</v>
      </c>
      <c r="AD70" s="15" t="s">
        <v>53</v>
      </c>
      <c r="AE70" s="15" t="s">
        <v>54</v>
      </c>
      <c r="AF70" s="15" t="s">
        <v>55</v>
      </c>
      <c r="AG70" s="15"/>
      <c r="AH70" s="14" t="str">
        <f>VLOOKUP(B70,[1]Sheet1!$A$2:$F$294,6,FALSE)</f>
        <v>特别困难</v>
      </c>
      <c r="AI70" s="14">
        <f>VLOOKUP(B70,[1]Sheet1!$A$2:$F$294,4,FALSE)</f>
        <v>0</v>
      </c>
      <c r="AJ70" s="14" t="str">
        <f>VLOOKUP(B70,[1]Sheet1!$A$2:$F$294,5,FALSE)</f>
        <v>无</v>
      </c>
    </row>
    <row r="71" s="2" customFormat="1" ht="14.25" spans="1:36">
      <c r="A71" s="11">
        <v>70</v>
      </c>
      <c r="B71" s="12">
        <v>22408000836</v>
      </c>
      <c r="C71" s="13" t="s">
        <v>403</v>
      </c>
      <c r="D71" s="14" t="s">
        <v>251</v>
      </c>
      <c r="E71" s="41" t="s">
        <v>404</v>
      </c>
      <c r="F71" s="14">
        <v>18230667374</v>
      </c>
      <c r="G71" s="15">
        <v>17886956663</v>
      </c>
      <c r="H71" s="15">
        <v>13270495104</v>
      </c>
      <c r="I71" s="14" t="s">
        <v>58</v>
      </c>
      <c r="J71" s="15">
        <v>2022080008</v>
      </c>
      <c r="K71" s="16" t="s">
        <v>356</v>
      </c>
      <c r="L71" s="14" t="s">
        <v>59</v>
      </c>
      <c r="M71" s="14" t="s">
        <v>152</v>
      </c>
      <c r="N71" s="14" t="s">
        <v>405</v>
      </c>
      <c r="O71" s="15">
        <v>2022</v>
      </c>
      <c r="P71" s="15" t="s">
        <v>41</v>
      </c>
      <c r="Q71" s="15" t="s">
        <v>194</v>
      </c>
      <c r="R71" s="15" t="s">
        <v>63</v>
      </c>
      <c r="S71" s="15" t="s">
        <v>406</v>
      </c>
      <c r="T71" s="15">
        <v>422206</v>
      </c>
      <c r="U71" s="15" t="s">
        <v>45</v>
      </c>
      <c r="V71" s="15" t="s">
        <v>58</v>
      </c>
      <c r="W71" s="15" t="s">
        <v>46</v>
      </c>
      <c r="X71" s="15" t="s">
        <v>47</v>
      </c>
      <c r="Y71" s="15" t="s">
        <v>48</v>
      </c>
      <c r="Z71" s="15" t="s">
        <v>49</v>
      </c>
      <c r="AA71" s="15" t="s">
        <v>50</v>
      </c>
      <c r="AB71" s="15" t="s">
        <v>67</v>
      </c>
      <c r="AC71" s="15" t="s">
        <v>52</v>
      </c>
      <c r="AD71" s="15" t="s">
        <v>53</v>
      </c>
      <c r="AE71" s="15" t="s">
        <v>54</v>
      </c>
      <c r="AF71" s="15" t="s">
        <v>55</v>
      </c>
      <c r="AG71" s="15"/>
      <c r="AH71" s="14" t="str">
        <f>VLOOKUP(B71,[1]Sheet1!$A$2:$F$294,6,FALSE)</f>
        <v>无</v>
      </c>
      <c r="AI71" s="14">
        <f>VLOOKUP(B71,[1]Sheet1!$A$2:$F$294,4,FALSE)</f>
        <v>0</v>
      </c>
      <c r="AJ71" s="14" t="str">
        <f>VLOOKUP(B71,[1]Sheet1!$A$2:$F$294,5,FALSE)</f>
        <v>无</v>
      </c>
    </row>
    <row r="72" s="2" customFormat="1" ht="14.25" spans="1:36">
      <c r="A72" s="11">
        <v>71</v>
      </c>
      <c r="B72" s="12">
        <v>22408000837</v>
      </c>
      <c r="C72" s="13" t="s">
        <v>407</v>
      </c>
      <c r="D72" s="14" t="s">
        <v>251</v>
      </c>
      <c r="E72" s="41" t="s">
        <v>408</v>
      </c>
      <c r="F72" s="14">
        <v>19936750741</v>
      </c>
      <c r="G72" s="15">
        <v>18075620081</v>
      </c>
      <c r="H72" s="15">
        <v>18175654350</v>
      </c>
      <c r="I72" s="14" t="s">
        <v>58</v>
      </c>
      <c r="J72" s="15">
        <v>2022080008</v>
      </c>
      <c r="K72" s="16" t="s">
        <v>356</v>
      </c>
      <c r="L72" s="14" t="s">
        <v>59</v>
      </c>
      <c r="M72" s="14" t="s">
        <v>152</v>
      </c>
      <c r="N72" s="14" t="s">
        <v>405</v>
      </c>
      <c r="O72" s="15">
        <v>2022</v>
      </c>
      <c r="P72" s="15" t="s">
        <v>41</v>
      </c>
      <c r="Q72" s="15" t="s">
        <v>409</v>
      </c>
      <c r="R72" s="15" t="s">
        <v>43</v>
      </c>
      <c r="S72" s="15" t="s">
        <v>410</v>
      </c>
      <c r="T72" s="15">
        <v>415717</v>
      </c>
      <c r="U72" s="15" t="s">
        <v>45</v>
      </c>
      <c r="V72" s="15" t="s">
        <v>58</v>
      </c>
      <c r="W72" s="15" t="s">
        <v>46</v>
      </c>
      <c r="X72" s="15" t="s">
        <v>47</v>
      </c>
      <c r="Y72" s="15" t="s">
        <v>48</v>
      </c>
      <c r="Z72" s="15" t="s">
        <v>49</v>
      </c>
      <c r="AA72" s="15" t="s">
        <v>50</v>
      </c>
      <c r="AB72" s="15" t="s">
        <v>67</v>
      </c>
      <c r="AC72" s="15" t="s">
        <v>52</v>
      </c>
      <c r="AD72" s="15" t="s">
        <v>53</v>
      </c>
      <c r="AE72" s="15" t="s">
        <v>54</v>
      </c>
      <c r="AF72" s="15" t="s">
        <v>55</v>
      </c>
      <c r="AG72" s="15"/>
      <c r="AH72" s="14" t="str">
        <f>VLOOKUP(B72,[1]Sheet1!$A$2:$F$294,6,FALSE)</f>
        <v>无</v>
      </c>
      <c r="AI72" s="14">
        <f>VLOOKUP(B72,[1]Sheet1!$A$2:$F$294,4,FALSE)</f>
        <v>0</v>
      </c>
      <c r="AJ72" s="14" t="str">
        <f>VLOOKUP(B72,[1]Sheet1!$A$2:$F$294,5,FALSE)</f>
        <v>无</v>
      </c>
    </row>
    <row r="73" s="2" customFormat="1" ht="14.25" spans="1:36">
      <c r="A73" s="11">
        <v>72</v>
      </c>
      <c r="B73" s="12">
        <v>22408000838</v>
      </c>
      <c r="C73" s="13" t="s">
        <v>411</v>
      </c>
      <c r="D73" s="14" t="s">
        <v>251</v>
      </c>
      <c r="E73" s="41" t="s">
        <v>412</v>
      </c>
      <c r="F73" s="14">
        <v>19196137308</v>
      </c>
      <c r="G73" s="15">
        <v>15773658338</v>
      </c>
      <c r="H73" s="15">
        <v>18942590857</v>
      </c>
      <c r="I73" s="14" t="s">
        <v>36</v>
      </c>
      <c r="J73" s="15">
        <v>2022080008</v>
      </c>
      <c r="K73" s="16" t="s">
        <v>356</v>
      </c>
      <c r="L73" s="14" t="s">
        <v>38</v>
      </c>
      <c r="M73" s="14" t="s">
        <v>39</v>
      </c>
      <c r="N73" s="14" t="s">
        <v>212</v>
      </c>
      <c r="O73" s="15">
        <v>2022</v>
      </c>
      <c r="P73" s="15" t="s">
        <v>41</v>
      </c>
      <c r="Q73" s="15" t="s">
        <v>413</v>
      </c>
      <c r="R73" s="15" t="s">
        <v>63</v>
      </c>
      <c r="S73" s="15" t="s">
        <v>414</v>
      </c>
      <c r="T73" s="15">
        <v>415200</v>
      </c>
      <c r="U73" s="15" t="s">
        <v>45</v>
      </c>
      <c r="V73" s="15" t="s">
        <v>36</v>
      </c>
      <c r="W73" s="15" t="s">
        <v>46</v>
      </c>
      <c r="X73" s="15" t="s">
        <v>74</v>
      </c>
      <c r="Y73" s="15" t="s">
        <v>88</v>
      </c>
      <c r="Z73" s="15" t="s">
        <v>49</v>
      </c>
      <c r="AA73" s="15" t="s">
        <v>50</v>
      </c>
      <c r="AB73" s="15" t="s">
        <v>51</v>
      </c>
      <c r="AC73" s="15" t="s">
        <v>52</v>
      </c>
      <c r="AD73" s="15" t="s">
        <v>53</v>
      </c>
      <c r="AE73" s="15" t="s">
        <v>54</v>
      </c>
      <c r="AF73" s="15" t="s">
        <v>55</v>
      </c>
      <c r="AG73" s="15"/>
      <c r="AH73" s="14" t="str">
        <f>VLOOKUP(B73,[1]Sheet1!$A$2:$F$294,6,FALSE)</f>
        <v>无</v>
      </c>
      <c r="AI73" s="14">
        <f>VLOOKUP(B73,[1]Sheet1!$A$2:$F$294,4,FALSE)</f>
        <v>0</v>
      </c>
      <c r="AJ73" s="14" t="str">
        <f>VLOOKUP(B73,[1]Sheet1!$A$2:$F$294,5,FALSE)</f>
        <v>无</v>
      </c>
    </row>
    <row r="74" s="2" customFormat="1" ht="14.25" spans="1:36">
      <c r="A74" s="11">
        <v>73</v>
      </c>
      <c r="B74" s="12">
        <v>22408000840</v>
      </c>
      <c r="C74" s="13" t="s">
        <v>415</v>
      </c>
      <c r="D74" s="14" t="s">
        <v>251</v>
      </c>
      <c r="E74" s="41" t="s">
        <v>416</v>
      </c>
      <c r="F74" s="14">
        <v>13995352317</v>
      </c>
      <c r="G74" s="15">
        <v>15709588589</v>
      </c>
      <c r="H74" s="15">
        <v>13909539802</v>
      </c>
      <c r="I74" s="14" t="s">
        <v>58</v>
      </c>
      <c r="J74" s="15">
        <v>2022080008</v>
      </c>
      <c r="K74" s="16" t="s">
        <v>356</v>
      </c>
      <c r="L74" s="14" t="s">
        <v>59</v>
      </c>
      <c r="M74" s="14" t="s">
        <v>152</v>
      </c>
      <c r="N74" s="14" t="s">
        <v>417</v>
      </c>
      <c r="O74" s="15">
        <v>2022</v>
      </c>
      <c r="P74" s="15" t="s">
        <v>41</v>
      </c>
      <c r="Q74" s="15" t="s">
        <v>418</v>
      </c>
      <c r="R74" s="15" t="s">
        <v>43</v>
      </c>
      <c r="S74" s="15" t="s">
        <v>419</v>
      </c>
      <c r="T74" s="15">
        <v>751600</v>
      </c>
      <c r="U74" s="15" t="s">
        <v>420</v>
      </c>
      <c r="V74" s="15" t="s">
        <v>58</v>
      </c>
      <c r="W74" s="15" t="s">
        <v>46</v>
      </c>
      <c r="X74" s="15" t="s">
        <v>74</v>
      </c>
      <c r="Y74" s="15" t="s">
        <v>48</v>
      </c>
      <c r="Z74" s="15" t="s">
        <v>75</v>
      </c>
      <c r="AA74" s="15" t="s">
        <v>50</v>
      </c>
      <c r="AB74" s="15" t="s">
        <v>67</v>
      </c>
      <c r="AC74" s="15" t="s">
        <v>52</v>
      </c>
      <c r="AD74" s="15" t="s">
        <v>53</v>
      </c>
      <c r="AE74" s="15" t="s">
        <v>54</v>
      </c>
      <c r="AF74" s="15" t="s">
        <v>55</v>
      </c>
      <c r="AG74" s="15" t="s">
        <v>421</v>
      </c>
      <c r="AH74" s="14" t="str">
        <f>VLOOKUP(B74,[1]Sheet1!$A$2:$F$294,6,FALSE)</f>
        <v>无</v>
      </c>
      <c r="AI74" s="14">
        <f>VLOOKUP(B74,[1]Sheet1!$A$2:$F$294,4,FALSE)</f>
        <v>6</v>
      </c>
      <c r="AJ74" s="14" t="str">
        <f>VLOOKUP(B74,[1]Sheet1!$A$2:$F$294,5,FALSE)</f>
        <v>JAVA程序设计,汇编语言程序设计,算法设计与分析,计算机组成原理,面向对象程序设计,面向过程程序设计(C语言)</v>
      </c>
    </row>
    <row r="75" s="2" customFormat="1" ht="14.25" spans="1:36">
      <c r="A75" s="11">
        <v>74</v>
      </c>
      <c r="B75" s="12">
        <v>20450000004</v>
      </c>
      <c r="C75" s="13" t="s">
        <v>422</v>
      </c>
      <c r="D75" s="14" t="s">
        <v>423</v>
      </c>
      <c r="E75" s="41" t="s">
        <v>424</v>
      </c>
      <c r="F75" s="14">
        <v>17599170885</v>
      </c>
      <c r="G75" s="15" t="s">
        <v>239</v>
      </c>
      <c r="H75" s="15">
        <v>18016997809</v>
      </c>
      <c r="I75" s="14" t="s">
        <v>58</v>
      </c>
      <c r="J75" s="15">
        <v>2022080001</v>
      </c>
      <c r="K75" s="16" t="s">
        <v>425</v>
      </c>
      <c r="L75" s="14" t="s">
        <v>59</v>
      </c>
      <c r="M75" s="14" t="s">
        <v>206</v>
      </c>
      <c r="N75" s="14" t="s">
        <v>426</v>
      </c>
      <c r="O75" s="15">
        <v>2020</v>
      </c>
      <c r="P75" s="15" t="s">
        <v>427</v>
      </c>
      <c r="Q75" s="15" t="s">
        <v>428</v>
      </c>
      <c r="R75" s="15" t="s">
        <v>43</v>
      </c>
      <c r="S75" s="15" t="s">
        <v>429</v>
      </c>
      <c r="T75" s="15"/>
      <c r="U75" s="15" t="s">
        <v>430</v>
      </c>
      <c r="V75" s="15" t="s">
        <v>58</v>
      </c>
      <c r="W75" s="15" t="s">
        <v>427</v>
      </c>
      <c r="X75" s="15" t="s">
        <v>47</v>
      </c>
      <c r="Y75" s="15" t="s">
        <v>431</v>
      </c>
      <c r="Z75" s="15" t="s">
        <v>49</v>
      </c>
      <c r="AA75" s="15" t="s">
        <v>50</v>
      </c>
      <c r="AB75" s="15" t="s">
        <v>67</v>
      </c>
      <c r="AC75" s="15" t="s">
        <v>52</v>
      </c>
      <c r="AD75" s="15" t="s">
        <v>53</v>
      </c>
      <c r="AE75" s="15" t="s">
        <v>54</v>
      </c>
      <c r="AF75" s="15" t="s">
        <v>55</v>
      </c>
      <c r="AG75" s="15"/>
      <c r="AH75" s="14" t="str">
        <f>VLOOKUP(B75,[1]Sheet1!$A$2:$F$294,6,FALSE)</f>
        <v>特别困难</v>
      </c>
      <c r="AI75" s="14">
        <f>VLOOKUP(B75,[1]Sheet1!$A$2:$F$294,4,FALSE)</f>
        <v>0</v>
      </c>
      <c r="AJ75" s="14" t="str">
        <f>VLOOKUP(B75,[1]Sheet1!$A$2:$F$294,5,FALSE)</f>
        <v>无</v>
      </c>
    </row>
    <row r="76" s="2" customFormat="1" ht="14.25" spans="1:36">
      <c r="A76" s="11">
        <v>75</v>
      </c>
      <c r="B76" s="12">
        <v>21450150103</v>
      </c>
      <c r="C76" s="13" t="s">
        <v>432</v>
      </c>
      <c r="D76" s="14" t="s">
        <v>423</v>
      </c>
      <c r="E76" s="41" t="s">
        <v>433</v>
      </c>
      <c r="F76" s="14">
        <v>17769446568</v>
      </c>
      <c r="G76" s="15">
        <v>15874471633</v>
      </c>
      <c r="H76" s="15">
        <v>17769446268</v>
      </c>
      <c r="I76" s="14" t="s">
        <v>58</v>
      </c>
      <c r="J76" s="15">
        <v>2022080001</v>
      </c>
      <c r="K76" s="16" t="s">
        <v>425</v>
      </c>
      <c r="L76" s="14" t="s">
        <v>59</v>
      </c>
      <c r="M76" s="14" t="s">
        <v>206</v>
      </c>
      <c r="N76" s="14" t="s">
        <v>288</v>
      </c>
      <c r="O76" s="15">
        <v>2021</v>
      </c>
      <c r="P76" s="15" t="s">
        <v>434</v>
      </c>
      <c r="Q76" s="15" t="s">
        <v>435</v>
      </c>
      <c r="R76" s="15" t="s">
        <v>63</v>
      </c>
      <c r="S76" s="15" t="s">
        <v>436</v>
      </c>
      <c r="T76" s="15">
        <v>427100</v>
      </c>
      <c r="U76" s="15" t="s">
        <v>45</v>
      </c>
      <c r="V76" s="15" t="s">
        <v>58</v>
      </c>
      <c r="W76" s="15" t="s">
        <v>434</v>
      </c>
      <c r="X76" s="15" t="s">
        <v>47</v>
      </c>
      <c r="Y76" s="15" t="s">
        <v>437</v>
      </c>
      <c r="Z76" s="15" t="s">
        <v>49</v>
      </c>
      <c r="AA76" s="15" t="s">
        <v>50</v>
      </c>
      <c r="AB76" s="15" t="s">
        <v>67</v>
      </c>
      <c r="AC76" s="15" t="s">
        <v>52</v>
      </c>
      <c r="AD76" s="15" t="s">
        <v>53</v>
      </c>
      <c r="AE76" s="15" t="s">
        <v>54</v>
      </c>
      <c r="AF76" s="15" t="s">
        <v>55</v>
      </c>
      <c r="AG76" s="15"/>
      <c r="AH76" s="14" t="str">
        <f>VLOOKUP(B76,[1]Sheet1!$A$2:$F$294,6,FALSE)</f>
        <v>无</v>
      </c>
      <c r="AI76" s="14">
        <f>VLOOKUP(B76,[1]Sheet1!$A$2:$F$294,4,FALSE)</f>
        <v>0</v>
      </c>
      <c r="AJ76" s="14" t="str">
        <f>VLOOKUP(B76,[1]Sheet1!$A$2:$F$294,5,FALSE)</f>
        <v>无</v>
      </c>
    </row>
    <row r="77" s="2" customFormat="1" ht="14.25" spans="1:36">
      <c r="A77" s="11">
        <v>76</v>
      </c>
      <c r="B77" s="12">
        <v>21450150136</v>
      </c>
      <c r="C77" s="13" t="s">
        <v>438</v>
      </c>
      <c r="D77" s="14" t="s">
        <v>423</v>
      </c>
      <c r="E77" s="41" t="s">
        <v>439</v>
      </c>
      <c r="F77" s="14">
        <v>18674473552</v>
      </c>
      <c r="G77" s="15">
        <v>13974467062</v>
      </c>
      <c r="H77" s="15">
        <v>13974467062</v>
      </c>
      <c r="I77" s="14" t="s">
        <v>58</v>
      </c>
      <c r="J77" s="15">
        <v>2022080001</v>
      </c>
      <c r="K77" s="16" t="s">
        <v>425</v>
      </c>
      <c r="L77" s="14" t="s">
        <v>59</v>
      </c>
      <c r="M77" s="14" t="s">
        <v>206</v>
      </c>
      <c r="N77" s="14" t="s">
        <v>426</v>
      </c>
      <c r="O77" s="15">
        <v>2021</v>
      </c>
      <c r="P77" s="15" t="s">
        <v>434</v>
      </c>
      <c r="Q77" s="15" t="s">
        <v>440</v>
      </c>
      <c r="R77" s="15" t="s">
        <v>63</v>
      </c>
      <c r="S77" s="15" t="s">
        <v>441</v>
      </c>
      <c r="T77" s="15">
        <v>427200</v>
      </c>
      <c r="U77" s="15" t="s">
        <v>45</v>
      </c>
      <c r="V77" s="15" t="s">
        <v>58</v>
      </c>
      <c r="W77" s="15" t="s">
        <v>434</v>
      </c>
      <c r="X77" s="15" t="s">
        <v>47</v>
      </c>
      <c r="Y77" s="15" t="s">
        <v>442</v>
      </c>
      <c r="Z77" s="15" t="s">
        <v>49</v>
      </c>
      <c r="AA77" s="15" t="s">
        <v>100</v>
      </c>
      <c r="AB77" s="15" t="s">
        <v>67</v>
      </c>
      <c r="AC77" s="15" t="s">
        <v>52</v>
      </c>
      <c r="AD77" s="15" t="s">
        <v>53</v>
      </c>
      <c r="AE77" s="15" t="s">
        <v>54</v>
      </c>
      <c r="AF77" s="15" t="s">
        <v>55</v>
      </c>
      <c r="AG77" s="15"/>
      <c r="AH77" s="14" t="str">
        <f>VLOOKUP(B77,[1]Sheet1!$A$2:$F$294,6,FALSE)</f>
        <v>无</v>
      </c>
      <c r="AI77" s="14">
        <f>VLOOKUP(B77,[1]Sheet1!$A$2:$F$294,4,FALSE)</f>
        <v>0</v>
      </c>
      <c r="AJ77" s="14" t="str">
        <f>VLOOKUP(B77,[1]Sheet1!$A$2:$F$294,5,FALSE)</f>
        <v>无</v>
      </c>
    </row>
    <row r="78" s="2" customFormat="1" ht="14.25" spans="1:36">
      <c r="A78" s="11">
        <v>77</v>
      </c>
      <c r="B78" s="11">
        <v>21450150201</v>
      </c>
      <c r="C78" s="13" t="s">
        <v>443</v>
      </c>
      <c r="D78" s="14" t="s">
        <v>423</v>
      </c>
      <c r="E78" s="41" t="s">
        <v>444</v>
      </c>
      <c r="F78" s="14">
        <v>17354860828</v>
      </c>
      <c r="G78" s="15">
        <v>13899453031</v>
      </c>
      <c r="H78" s="15">
        <v>18935793633</v>
      </c>
      <c r="I78" s="14" t="s">
        <v>58</v>
      </c>
      <c r="J78" s="15">
        <v>2022080001</v>
      </c>
      <c r="K78" s="16" t="s">
        <v>425</v>
      </c>
      <c r="L78" s="14" t="s">
        <v>59</v>
      </c>
      <c r="M78" s="14" t="s">
        <v>206</v>
      </c>
      <c r="N78" s="14" t="s">
        <v>426</v>
      </c>
      <c r="O78" s="15">
        <v>2021</v>
      </c>
      <c r="P78" s="15" t="s">
        <v>427</v>
      </c>
      <c r="Q78" s="15" t="s">
        <v>445</v>
      </c>
      <c r="R78" s="15" t="s">
        <v>63</v>
      </c>
      <c r="S78" s="15" t="s">
        <v>446</v>
      </c>
      <c r="T78" s="15">
        <v>848000</v>
      </c>
      <c r="U78" s="15" t="s">
        <v>430</v>
      </c>
      <c r="V78" s="15" t="s">
        <v>58</v>
      </c>
      <c r="W78" s="15" t="s">
        <v>427</v>
      </c>
      <c r="X78" s="15" t="s">
        <v>47</v>
      </c>
      <c r="Y78" s="15" t="s">
        <v>447</v>
      </c>
      <c r="Z78" s="15" t="s">
        <v>75</v>
      </c>
      <c r="AA78" s="15" t="s">
        <v>50</v>
      </c>
      <c r="AB78" s="15" t="s">
        <v>67</v>
      </c>
      <c r="AC78" s="15" t="s">
        <v>52</v>
      </c>
      <c r="AD78" s="15" t="s">
        <v>53</v>
      </c>
      <c r="AE78" s="15" t="s">
        <v>54</v>
      </c>
      <c r="AF78" s="15" t="s">
        <v>55</v>
      </c>
      <c r="AG78" s="15"/>
      <c r="AH78" s="14" t="str">
        <f>VLOOKUP(B78,[1]Sheet1!$A$2:$F$294,6,FALSE)</f>
        <v>无</v>
      </c>
      <c r="AI78" s="14">
        <f>VLOOKUP(B78,[1]Sheet1!$A$2:$F$294,4,FALSE)</f>
        <v>0</v>
      </c>
      <c r="AJ78" s="14" t="str">
        <f>VLOOKUP(B78,[1]Sheet1!$A$2:$F$294,5,FALSE)</f>
        <v>无</v>
      </c>
    </row>
    <row r="79" s="2" customFormat="1" ht="14.25" spans="1:36">
      <c r="A79" s="11">
        <v>78</v>
      </c>
      <c r="B79" s="12">
        <v>21450150203</v>
      </c>
      <c r="C79" s="13" t="s">
        <v>448</v>
      </c>
      <c r="D79" s="14" t="s">
        <v>423</v>
      </c>
      <c r="E79" s="41" t="s">
        <v>449</v>
      </c>
      <c r="F79" s="14">
        <v>13324930309</v>
      </c>
      <c r="G79" s="15">
        <v>13408921540</v>
      </c>
      <c r="H79" s="15">
        <v>18987665160</v>
      </c>
      <c r="I79" s="14" t="s">
        <v>36</v>
      </c>
      <c r="J79" s="15">
        <v>2022080001</v>
      </c>
      <c r="K79" s="16" t="s">
        <v>425</v>
      </c>
      <c r="L79" s="14" t="s">
        <v>38</v>
      </c>
      <c r="M79" s="14" t="s">
        <v>39</v>
      </c>
      <c r="N79" s="14" t="s">
        <v>450</v>
      </c>
      <c r="O79" s="15">
        <v>2021</v>
      </c>
      <c r="P79" s="15" t="s">
        <v>451</v>
      </c>
      <c r="Q79" s="15" t="s">
        <v>452</v>
      </c>
      <c r="R79" s="15" t="s">
        <v>63</v>
      </c>
      <c r="S79" s="15" t="s">
        <v>453</v>
      </c>
      <c r="T79" s="15">
        <v>654300</v>
      </c>
      <c r="U79" s="15" t="s">
        <v>196</v>
      </c>
      <c r="V79" s="15" t="s">
        <v>36</v>
      </c>
      <c r="W79" s="15" t="s">
        <v>451</v>
      </c>
      <c r="X79" s="15" t="s">
        <v>47</v>
      </c>
      <c r="Y79" s="15" t="s">
        <v>437</v>
      </c>
      <c r="Z79" s="15" t="s">
        <v>49</v>
      </c>
      <c r="AA79" s="15" t="s">
        <v>50</v>
      </c>
      <c r="AB79" s="15" t="s">
        <v>67</v>
      </c>
      <c r="AC79" s="15" t="s">
        <v>52</v>
      </c>
      <c r="AD79" s="15" t="s">
        <v>53</v>
      </c>
      <c r="AE79" s="15" t="s">
        <v>54</v>
      </c>
      <c r="AF79" s="15" t="s">
        <v>55</v>
      </c>
      <c r="AG79" s="15"/>
      <c r="AH79" s="14" t="str">
        <f>VLOOKUP(B79,[1]Sheet1!$A$2:$F$294,6,FALSE)</f>
        <v>特别困难</v>
      </c>
      <c r="AI79" s="14">
        <f>VLOOKUP(B79,[1]Sheet1!$A$2:$F$294,4,FALSE)</f>
        <v>0</v>
      </c>
      <c r="AJ79" s="14" t="str">
        <f>VLOOKUP(B79,[1]Sheet1!$A$2:$F$294,5,FALSE)</f>
        <v>无</v>
      </c>
    </row>
    <row r="80" s="2" customFormat="1" ht="14.25" spans="1:36">
      <c r="A80" s="11">
        <v>79</v>
      </c>
      <c r="B80" s="12">
        <v>21450150204</v>
      </c>
      <c r="C80" s="13" t="s">
        <v>454</v>
      </c>
      <c r="D80" s="14" t="s">
        <v>423</v>
      </c>
      <c r="E80" s="41" t="s">
        <v>455</v>
      </c>
      <c r="F80" s="14">
        <v>18193109862</v>
      </c>
      <c r="G80" s="15">
        <v>18909495655</v>
      </c>
      <c r="H80" s="15">
        <v>13893438593</v>
      </c>
      <c r="I80" s="14" t="s">
        <v>58</v>
      </c>
      <c r="J80" s="15">
        <v>2022080001</v>
      </c>
      <c r="K80" s="16" t="s">
        <v>425</v>
      </c>
      <c r="L80" s="14" t="s">
        <v>59</v>
      </c>
      <c r="M80" s="14" t="s">
        <v>206</v>
      </c>
      <c r="N80" s="14" t="s">
        <v>456</v>
      </c>
      <c r="O80" s="15">
        <v>2021</v>
      </c>
      <c r="P80" s="15" t="s">
        <v>457</v>
      </c>
      <c r="Q80" s="15" t="s">
        <v>458</v>
      </c>
      <c r="R80" s="15" t="s">
        <v>63</v>
      </c>
      <c r="S80" s="15" t="s">
        <v>459</v>
      </c>
      <c r="T80" s="15">
        <v>730000</v>
      </c>
      <c r="U80" s="15" t="s">
        <v>331</v>
      </c>
      <c r="V80" s="15" t="s">
        <v>58</v>
      </c>
      <c r="W80" s="15" t="s">
        <v>457</v>
      </c>
      <c r="X80" s="15" t="s">
        <v>74</v>
      </c>
      <c r="Y80" s="15" t="s">
        <v>47</v>
      </c>
      <c r="Z80" s="15" t="s">
        <v>75</v>
      </c>
      <c r="AA80" s="15" t="s">
        <v>50</v>
      </c>
      <c r="AB80" s="15" t="s">
        <v>67</v>
      </c>
      <c r="AC80" s="15" t="s">
        <v>52</v>
      </c>
      <c r="AD80" s="15" t="s">
        <v>53</v>
      </c>
      <c r="AE80" s="15" t="s">
        <v>54</v>
      </c>
      <c r="AF80" s="15" t="s">
        <v>55</v>
      </c>
      <c r="AG80" s="15" t="s">
        <v>460</v>
      </c>
      <c r="AH80" s="14" t="str">
        <f>VLOOKUP(B80,[1]Sheet1!$A$2:$F$294,6,FALSE)</f>
        <v>无</v>
      </c>
      <c r="AI80" s="14">
        <f>VLOOKUP(B80,[1]Sheet1!$A$2:$F$294,4,FALSE)</f>
        <v>1</v>
      </c>
      <c r="AJ80" s="14" t="str">
        <f>VLOOKUP(B80,[1]Sheet1!$A$2:$F$294,5,FALSE)</f>
        <v>汇编语言程序设计</v>
      </c>
    </row>
    <row r="81" s="2" customFormat="1" ht="14.25" spans="1:36">
      <c r="A81" s="11">
        <v>80</v>
      </c>
      <c r="B81" s="12">
        <v>21450150212</v>
      </c>
      <c r="C81" s="13" t="s">
        <v>461</v>
      </c>
      <c r="D81" s="14" t="s">
        <v>423</v>
      </c>
      <c r="E81" s="41" t="s">
        <v>462</v>
      </c>
      <c r="F81" s="14">
        <v>18577175090</v>
      </c>
      <c r="G81" s="15">
        <v>13077776989</v>
      </c>
      <c r="H81" s="15">
        <v>13197619296</v>
      </c>
      <c r="I81" s="14" t="s">
        <v>58</v>
      </c>
      <c r="J81" s="15">
        <v>2022080001</v>
      </c>
      <c r="K81" s="16" t="s">
        <v>425</v>
      </c>
      <c r="L81" s="14" t="s">
        <v>59</v>
      </c>
      <c r="M81" s="14" t="s">
        <v>206</v>
      </c>
      <c r="N81" s="14" t="s">
        <v>456</v>
      </c>
      <c r="O81" s="15">
        <v>2021</v>
      </c>
      <c r="P81" s="15" t="s">
        <v>463</v>
      </c>
      <c r="Q81" s="15" t="s">
        <v>464</v>
      </c>
      <c r="R81" s="15" t="s">
        <v>43</v>
      </c>
      <c r="S81" s="15" t="s">
        <v>465</v>
      </c>
      <c r="T81" s="15">
        <v>530003</v>
      </c>
      <c r="U81" s="15" t="s">
        <v>466</v>
      </c>
      <c r="V81" s="15" t="s">
        <v>58</v>
      </c>
      <c r="W81" s="15" t="s">
        <v>463</v>
      </c>
      <c r="X81" s="15" t="s">
        <v>74</v>
      </c>
      <c r="Y81" s="15" t="s">
        <v>47</v>
      </c>
      <c r="Z81" s="15" t="s">
        <v>75</v>
      </c>
      <c r="AA81" s="15" t="s">
        <v>50</v>
      </c>
      <c r="AB81" s="15" t="s">
        <v>67</v>
      </c>
      <c r="AC81" s="15" t="s">
        <v>52</v>
      </c>
      <c r="AD81" s="15" t="s">
        <v>53</v>
      </c>
      <c r="AE81" s="15" t="s">
        <v>54</v>
      </c>
      <c r="AF81" s="15" t="s">
        <v>55</v>
      </c>
      <c r="AG81" s="15"/>
      <c r="AH81" s="14" t="str">
        <f>VLOOKUP(B81,[1]Sheet1!$A$2:$F$294,6,FALSE)</f>
        <v>无</v>
      </c>
      <c r="AI81" s="14">
        <f>VLOOKUP(B81,[1]Sheet1!$A$2:$F$294,4,FALSE)</f>
        <v>0</v>
      </c>
      <c r="AJ81" s="14" t="str">
        <f>VLOOKUP(B81,[1]Sheet1!$A$2:$F$294,5,FALSE)</f>
        <v>无</v>
      </c>
    </row>
    <row r="82" s="2" customFormat="1" ht="14.25" spans="1:36">
      <c r="A82" s="11">
        <v>81</v>
      </c>
      <c r="B82" s="12">
        <v>21450150217</v>
      </c>
      <c r="C82" s="13" t="s">
        <v>467</v>
      </c>
      <c r="D82" s="14" t="s">
        <v>423</v>
      </c>
      <c r="E82" s="15" t="s">
        <v>468</v>
      </c>
      <c r="F82" s="14">
        <v>13197208389</v>
      </c>
      <c r="G82" s="15">
        <v>15172826812</v>
      </c>
      <c r="H82" s="15">
        <v>13593609970</v>
      </c>
      <c r="I82" s="14" t="s">
        <v>58</v>
      </c>
      <c r="J82" s="15">
        <v>2022080001</v>
      </c>
      <c r="K82" s="16" t="s">
        <v>425</v>
      </c>
      <c r="L82" s="14" t="s">
        <v>59</v>
      </c>
      <c r="M82" s="14" t="s">
        <v>206</v>
      </c>
      <c r="N82" s="14" t="s">
        <v>456</v>
      </c>
      <c r="O82" s="15">
        <v>2021</v>
      </c>
      <c r="P82" s="15" t="s">
        <v>434</v>
      </c>
      <c r="Q82" s="15" t="s">
        <v>469</v>
      </c>
      <c r="R82" s="15" t="s">
        <v>63</v>
      </c>
      <c r="S82" s="15" t="s">
        <v>470</v>
      </c>
      <c r="T82" s="15">
        <v>445400</v>
      </c>
      <c r="U82" s="15" t="s">
        <v>243</v>
      </c>
      <c r="V82" s="15" t="s">
        <v>58</v>
      </c>
      <c r="W82" s="15" t="s">
        <v>434</v>
      </c>
      <c r="X82" s="15" t="s">
        <v>74</v>
      </c>
      <c r="Y82" s="15" t="s">
        <v>47</v>
      </c>
      <c r="Z82" s="15" t="s">
        <v>75</v>
      </c>
      <c r="AA82" s="15" t="s">
        <v>50</v>
      </c>
      <c r="AB82" s="15" t="s">
        <v>67</v>
      </c>
      <c r="AC82" s="15" t="s">
        <v>52</v>
      </c>
      <c r="AD82" s="15" t="s">
        <v>53</v>
      </c>
      <c r="AE82" s="15" t="s">
        <v>54</v>
      </c>
      <c r="AF82" s="15" t="s">
        <v>55</v>
      </c>
      <c r="AG82" s="15"/>
      <c r="AH82" s="14" t="str">
        <f>VLOOKUP(B82,[1]Sheet1!$A$2:$F$294,6,FALSE)</f>
        <v>无</v>
      </c>
      <c r="AI82" s="14">
        <f>VLOOKUP(B82,[1]Sheet1!$A$2:$F$294,4,FALSE)</f>
        <v>0</v>
      </c>
      <c r="AJ82" s="14" t="str">
        <f>VLOOKUP(B82,[1]Sheet1!$A$2:$F$294,5,FALSE)</f>
        <v>无</v>
      </c>
    </row>
    <row r="83" s="2" customFormat="1" ht="14.25" spans="1:36">
      <c r="A83" s="11">
        <v>82</v>
      </c>
      <c r="B83" s="12">
        <v>21450150223</v>
      </c>
      <c r="C83" s="13" t="s">
        <v>471</v>
      </c>
      <c r="D83" s="14" t="s">
        <v>423</v>
      </c>
      <c r="E83" s="41" t="s">
        <v>472</v>
      </c>
      <c r="F83" s="14">
        <v>18371805482</v>
      </c>
      <c r="G83" s="15">
        <v>15971781946</v>
      </c>
      <c r="H83" s="15">
        <v>15971825033</v>
      </c>
      <c r="I83" s="14" t="s">
        <v>36</v>
      </c>
      <c r="J83" s="15">
        <v>2022080001</v>
      </c>
      <c r="K83" s="16" t="s">
        <v>425</v>
      </c>
      <c r="L83" s="14" t="s">
        <v>38</v>
      </c>
      <c r="M83" s="14" t="s">
        <v>39</v>
      </c>
      <c r="N83" s="14" t="s">
        <v>450</v>
      </c>
      <c r="O83" s="15">
        <v>2021</v>
      </c>
      <c r="P83" s="15" t="s">
        <v>434</v>
      </c>
      <c r="Q83" s="15" t="s">
        <v>473</v>
      </c>
      <c r="R83" s="15" t="s">
        <v>63</v>
      </c>
      <c r="S83" s="15" t="s">
        <v>474</v>
      </c>
      <c r="T83" s="15">
        <v>445700</v>
      </c>
      <c r="U83" s="15" t="s">
        <v>243</v>
      </c>
      <c r="V83" s="15" t="s">
        <v>36</v>
      </c>
      <c r="W83" s="15" t="s">
        <v>434</v>
      </c>
      <c r="X83" s="15" t="s">
        <v>74</v>
      </c>
      <c r="Y83" s="15" t="s">
        <v>437</v>
      </c>
      <c r="Z83" s="15" t="s">
        <v>49</v>
      </c>
      <c r="AA83" s="15" t="s">
        <v>50</v>
      </c>
      <c r="AB83" s="15" t="s">
        <v>67</v>
      </c>
      <c r="AC83" s="15" t="s">
        <v>52</v>
      </c>
      <c r="AD83" s="15" t="s">
        <v>53</v>
      </c>
      <c r="AE83" s="15" t="s">
        <v>54</v>
      </c>
      <c r="AF83" s="15" t="s">
        <v>55</v>
      </c>
      <c r="AG83" s="15"/>
      <c r="AH83" s="14" t="str">
        <f>VLOOKUP(B83,[1]Sheet1!$A$2:$F$294,6,FALSE)</f>
        <v>一般困难</v>
      </c>
      <c r="AI83" s="14">
        <f>VLOOKUP(B83,[1]Sheet1!$A$2:$F$294,4,FALSE)</f>
        <v>0</v>
      </c>
      <c r="AJ83" s="14" t="str">
        <f>VLOOKUP(B83,[1]Sheet1!$A$2:$F$294,5,FALSE)</f>
        <v>无</v>
      </c>
    </row>
    <row r="84" s="2" customFormat="1" ht="14.25" spans="1:36">
      <c r="A84" s="11">
        <v>83</v>
      </c>
      <c r="B84" s="12">
        <v>21450150225</v>
      </c>
      <c r="C84" s="13" t="s">
        <v>475</v>
      </c>
      <c r="D84" s="14" t="s">
        <v>423</v>
      </c>
      <c r="E84" s="41" t="s">
        <v>476</v>
      </c>
      <c r="F84" s="14">
        <v>18074400679</v>
      </c>
      <c r="G84" s="15">
        <v>15874421856</v>
      </c>
      <c r="H84" s="15">
        <v>15174479833</v>
      </c>
      <c r="I84" s="14" t="s">
        <v>58</v>
      </c>
      <c r="J84" s="15">
        <v>2022080001</v>
      </c>
      <c r="K84" s="16" t="s">
        <v>425</v>
      </c>
      <c r="L84" s="14" t="s">
        <v>59</v>
      </c>
      <c r="M84" s="14" t="s">
        <v>206</v>
      </c>
      <c r="N84" s="14" t="s">
        <v>288</v>
      </c>
      <c r="O84" s="15">
        <v>2021</v>
      </c>
      <c r="P84" s="15" t="s">
        <v>434</v>
      </c>
      <c r="Q84" s="15" t="s">
        <v>440</v>
      </c>
      <c r="R84" s="15" t="s">
        <v>63</v>
      </c>
      <c r="S84" s="15" t="s">
        <v>477</v>
      </c>
      <c r="T84" s="15">
        <v>427100</v>
      </c>
      <c r="U84" s="15" t="s">
        <v>45</v>
      </c>
      <c r="V84" s="15" t="s">
        <v>58</v>
      </c>
      <c r="W84" s="15" t="s">
        <v>434</v>
      </c>
      <c r="X84" s="15" t="s">
        <v>47</v>
      </c>
      <c r="Y84" s="15" t="s">
        <v>478</v>
      </c>
      <c r="Z84" s="15" t="s">
        <v>49</v>
      </c>
      <c r="AA84" s="15" t="s">
        <v>50</v>
      </c>
      <c r="AB84" s="15" t="s">
        <v>67</v>
      </c>
      <c r="AC84" s="15" t="s">
        <v>52</v>
      </c>
      <c r="AD84" s="15" t="s">
        <v>53</v>
      </c>
      <c r="AE84" s="15" t="s">
        <v>479</v>
      </c>
      <c r="AF84" s="15" t="s">
        <v>55</v>
      </c>
      <c r="AG84" s="15"/>
      <c r="AH84" s="14" t="str">
        <f>VLOOKUP(B84,[1]Sheet1!$A$2:$F$294,6,FALSE)</f>
        <v>无</v>
      </c>
      <c r="AI84" s="14">
        <f>VLOOKUP(B84,[1]Sheet1!$A$2:$F$294,4,FALSE)</f>
        <v>0</v>
      </c>
      <c r="AJ84" s="14" t="str">
        <f>VLOOKUP(B84,[1]Sheet1!$A$2:$F$294,5,FALSE)</f>
        <v>无</v>
      </c>
    </row>
    <row r="85" s="2" customFormat="1" ht="14.25" spans="1:36">
      <c r="A85" s="11">
        <v>84</v>
      </c>
      <c r="B85" s="12">
        <v>21450150230</v>
      </c>
      <c r="C85" s="13" t="s">
        <v>480</v>
      </c>
      <c r="D85" s="14" t="s">
        <v>423</v>
      </c>
      <c r="E85" s="41" t="s">
        <v>481</v>
      </c>
      <c r="F85" s="14">
        <v>19894230918</v>
      </c>
      <c r="G85" s="15">
        <v>15974066435</v>
      </c>
      <c r="H85" s="15">
        <v>13467472893</v>
      </c>
      <c r="I85" s="14" t="s">
        <v>58</v>
      </c>
      <c r="J85" s="15">
        <v>2022080001</v>
      </c>
      <c r="K85" s="16" t="s">
        <v>425</v>
      </c>
      <c r="L85" s="14" t="s">
        <v>59</v>
      </c>
      <c r="M85" s="14" t="s">
        <v>206</v>
      </c>
      <c r="N85" s="14" t="s">
        <v>456</v>
      </c>
      <c r="O85" s="15">
        <v>2021</v>
      </c>
      <c r="P85" s="15" t="s">
        <v>482</v>
      </c>
      <c r="Q85" s="15" t="s">
        <v>115</v>
      </c>
      <c r="R85" s="15" t="s">
        <v>63</v>
      </c>
      <c r="S85" s="15" t="s">
        <v>483</v>
      </c>
      <c r="T85" s="15">
        <v>425503</v>
      </c>
      <c r="U85" s="15" t="s">
        <v>45</v>
      </c>
      <c r="V85" s="15" t="s">
        <v>58</v>
      </c>
      <c r="W85" s="15" t="s">
        <v>482</v>
      </c>
      <c r="X85" s="15" t="s">
        <v>47</v>
      </c>
      <c r="Y85" s="15" t="s">
        <v>437</v>
      </c>
      <c r="Z85" s="15" t="s">
        <v>75</v>
      </c>
      <c r="AA85" s="15" t="s">
        <v>50</v>
      </c>
      <c r="AB85" s="15" t="s">
        <v>67</v>
      </c>
      <c r="AC85" s="15" t="s">
        <v>52</v>
      </c>
      <c r="AD85" s="15" t="s">
        <v>53</v>
      </c>
      <c r="AE85" s="15" t="s">
        <v>54</v>
      </c>
      <c r="AF85" s="15" t="s">
        <v>55</v>
      </c>
      <c r="AG85" s="15"/>
      <c r="AH85" s="14" t="str">
        <f>VLOOKUP(B85,[1]Sheet1!$A$2:$F$294,6,FALSE)</f>
        <v>无</v>
      </c>
      <c r="AI85" s="14">
        <f>VLOOKUP(B85,[1]Sheet1!$A$2:$F$294,4,FALSE)</f>
        <v>0</v>
      </c>
      <c r="AJ85" s="14" t="str">
        <f>VLOOKUP(B85,[1]Sheet1!$A$2:$F$294,5,FALSE)</f>
        <v>无</v>
      </c>
    </row>
    <row r="86" s="2" customFormat="1" ht="14.25" spans="1:36">
      <c r="A86" s="11">
        <v>85</v>
      </c>
      <c r="B86" s="12">
        <v>21450150308</v>
      </c>
      <c r="C86" s="13" t="s">
        <v>484</v>
      </c>
      <c r="D86" s="14" t="s">
        <v>423</v>
      </c>
      <c r="E86" s="15" t="s">
        <v>485</v>
      </c>
      <c r="F86" s="14">
        <v>13027335875</v>
      </c>
      <c r="G86" s="15">
        <v>13823770299</v>
      </c>
      <c r="H86" s="15">
        <v>17798439729</v>
      </c>
      <c r="I86" s="14" t="s">
        <v>36</v>
      </c>
      <c r="J86" s="15">
        <v>2022080001</v>
      </c>
      <c r="K86" s="16" t="s">
        <v>425</v>
      </c>
      <c r="L86" s="14" t="s">
        <v>38</v>
      </c>
      <c r="M86" s="14" t="s">
        <v>39</v>
      </c>
      <c r="N86" s="14" t="s">
        <v>486</v>
      </c>
      <c r="O86" s="15">
        <v>2021</v>
      </c>
      <c r="P86" s="15" t="s">
        <v>487</v>
      </c>
      <c r="Q86" s="15" t="s">
        <v>194</v>
      </c>
      <c r="R86" s="15" t="s">
        <v>63</v>
      </c>
      <c r="S86" s="15" t="s">
        <v>488</v>
      </c>
      <c r="T86" s="15">
        <v>422600</v>
      </c>
      <c r="U86" s="15" t="s">
        <v>45</v>
      </c>
      <c r="V86" s="15" t="s">
        <v>36</v>
      </c>
      <c r="W86" s="15" t="s">
        <v>487</v>
      </c>
      <c r="X86" s="15" t="s">
        <v>47</v>
      </c>
      <c r="Y86" s="15" t="s">
        <v>437</v>
      </c>
      <c r="Z86" s="15" t="s">
        <v>49</v>
      </c>
      <c r="AA86" s="15" t="s">
        <v>50</v>
      </c>
      <c r="AB86" s="15" t="s">
        <v>67</v>
      </c>
      <c r="AC86" s="15" t="s">
        <v>52</v>
      </c>
      <c r="AD86" s="15" t="s">
        <v>53</v>
      </c>
      <c r="AE86" s="15" t="s">
        <v>54</v>
      </c>
      <c r="AF86" s="15" t="s">
        <v>55</v>
      </c>
      <c r="AG86" s="15"/>
      <c r="AH86" s="14" t="str">
        <f>VLOOKUP(B86,[1]Sheet1!$A$2:$F$294,6,FALSE)</f>
        <v>无</v>
      </c>
      <c r="AI86" s="14">
        <f>VLOOKUP(B86,[1]Sheet1!$A$2:$F$294,4,FALSE)</f>
        <v>0</v>
      </c>
      <c r="AJ86" s="14" t="str">
        <f>VLOOKUP(B86,[1]Sheet1!$A$2:$F$294,5,FALSE)</f>
        <v>无</v>
      </c>
    </row>
    <row r="87" s="2" customFormat="1" ht="14.25" spans="1:36">
      <c r="A87" s="11">
        <v>86</v>
      </c>
      <c r="B87" s="12">
        <v>21450150312</v>
      </c>
      <c r="C87" s="13" t="s">
        <v>489</v>
      </c>
      <c r="D87" s="14" t="s">
        <v>423</v>
      </c>
      <c r="E87" s="41" t="s">
        <v>490</v>
      </c>
      <c r="F87" s="14">
        <v>18388212674</v>
      </c>
      <c r="G87" s="15">
        <v>13888546531</v>
      </c>
      <c r="H87" s="15">
        <v>13099466238</v>
      </c>
      <c r="I87" s="14" t="s">
        <v>36</v>
      </c>
      <c r="J87" s="15">
        <v>2022080001</v>
      </c>
      <c r="K87" s="16" t="s">
        <v>425</v>
      </c>
      <c r="L87" s="14" t="s">
        <v>38</v>
      </c>
      <c r="M87" s="14" t="s">
        <v>39</v>
      </c>
      <c r="N87" s="14" t="s">
        <v>486</v>
      </c>
      <c r="O87" s="15">
        <v>2021</v>
      </c>
      <c r="P87" s="15" t="s">
        <v>491</v>
      </c>
      <c r="Q87" s="15" t="s">
        <v>492</v>
      </c>
      <c r="R87" s="15" t="s">
        <v>63</v>
      </c>
      <c r="S87" s="15" t="s">
        <v>493</v>
      </c>
      <c r="T87" s="15">
        <v>650103</v>
      </c>
      <c r="U87" s="15" t="s">
        <v>196</v>
      </c>
      <c r="V87" s="15" t="s">
        <v>36</v>
      </c>
      <c r="W87" s="15" t="s">
        <v>491</v>
      </c>
      <c r="X87" s="15" t="s">
        <v>74</v>
      </c>
      <c r="Y87" s="15" t="s">
        <v>437</v>
      </c>
      <c r="Z87" s="15" t="s">
        <v>75</v>
      </c>
      <c r="AA87" s="15" t="s">
        <v>50</v>
      </c>
      <c r="AB87" s="15" t="s">
        <v>67</v>
      </c>
      <c r="AC87" s="15" t="s">
        <v>52</v>
      </c>
      <c r="AD87" s="15" t="s">
        <v>53</v>
      </c>
      <c r="AE87" s="15" t="s">
        <v>54</v>
      </c>
      <c r="AF87" s="15" t="s">
        <v>55</v>
      </c>
      <c r="AG87" s="15"/>
      <c r="AH87" s="14" t="str">
        <f>VLOOKUP(B87,[1]Sheet1!$A$2:$F$294,6,FALSE)</f>
        <v>无</v>
      </c>
      <c r="AI87" s="14">
        <f>VLOOKUP(B87,[1]Sheet1!$A$2:$F$294,4,FALSE)</f>
        <v>0</v>
      </c>
      <c r="AJ87" s="14" t="str">
        <f>VLOOKUP(B87,[1]Sheet1!$A$2:$F$294,5,FALSE)</f>
        <v>无</v>
      </c>
    </row>
    <row r="88" s="2" customFormat="1" ht="14.25" spans="1:36">
      <c r="A88" s="11">
        <v>87</v>
      </c>
      <c r="B88" s="12">
        <v>21450150324</v>
      </c>
      <c r="C88" s="13" t="s">
        <v>494</v>
      </c>
      <c r="D88" s="14" t="s">
        <v>423</v>
      </c>
      <c r="E88" s="41" t="s">
        <v>495</v>
      </c>
      <c r="F88" s="14">
        <v>15581465903</v>
      </c>
      <c r="G88" s="15">
        <v>13469361449</v>
      </c>
      <c r="H88" s="15" t="s">
        <v>239</v>
      </c>
      <c r="I88" s="14" t="s">
        <v>58</v>
      </c>
      <c r="J88" s="15">
        <v>2022080001</v>
      </c>
      <c r="K88" s="16" t="s">
        <v>425</v>
      </c>
      <c r="L88" s="14" t="s">
        <v>59</v>
      </c>
      <c r="M88" s="14" t="s">
        <v>206</v>
      </c>
      <c r="N88" s="14" t="s">
        <v>426</v>
      </c>
      <c r="O88" s="15">
        <v>2021</v>
      </c>
      <c r="P88" s="15" t="s">
        <v>463</v>
      </c>
      <c r="Q88" s="15" t="s">
        <v>115</v>
      </c>
      <c r="R88" s="15" t="s">
        <v>63</v>
      </c>
      <c r="S88" s="15" t="s">
        <v>496</v>
      </c>
      <c r="T88" s="15">
        <v>425506</v>
      </c>
      <c r="U88" s="15" t="s">
        <v>45</v>
      </c>
      <c r="V88" s="15" t="s">
        <v>58</v>
      </c>
      <c r="W88" s="15" t="s">
        <v>463</v>
      </c>
      <c r="X88" s="15" t="s">
        <v>47</v>
      </c>
      <c r="Y88" s="15" t="s">
        <v>478</v>
      </c>
      <c r="Z88" s="15" t="s">
        <v>49</v>
      </c>
      <c r="AA88" s="15" t="s">
        <v>50</v>
      </c>
      <c r="AB88" s="15" t="s">
        <v>67</v>
      </c>
      <c r="AC88" s="15" t="s">
        <v>52</v>
      </c>
      <c r="AD88" s="15" t="s">
        <v>53</v>
      </c>
      <c r="AE88" s="15" t="s">
        <v>54</v>
      </c>
      <c r="AF88" s="15" t="s">
        <v>55</v>
      </c>
      <c r="AG88" s="15"/>
      <c r="AH88" s="14" t="str">
        <f>VLOOKUP(B88,[1]Sheet1!$A$2:$F$294,6,FALSE)</f>
        <v>困难</v>
      </c>
      <c r="AI88" s="14">
        <f>VLOOKUP(B88,[1]Sheet1!$A$2:$F$294,4,FALSE)</f>
        <v>0</v>
      </c>
      <c r="AJ88" s="14" t="str">
        <f>VLOOKUP(B88,[1]Sheet1!$A$2:$F$294,5,FALSE)</f>
        <v>无</v>
      </c>
    </row>
    <row r="89" s="2" customFormat="1" ht="14.25" spans="1:36">
      <c r="A89" s="11">
        <v>88</v>
      </c>
      <c r="B89" s="12">
        <v>21450150328</v>
      </c>
      <c r="C89" s="13" t="s">
        <v>497</v>
      </c>
      <c r="D89" s="14" t="s">
        <v>423</v>
      </c>
      <c r="E89" s="41" t="s">
        <v>498</v>
      </c>
      <c r="F89" s="14">
        <v>13017111182</v>
      </c>
      <c r="G89" s="15">
        <v>15174391259</v>
      </c>
      <c r="H89" s="15">
        <v>15576978671</v>
      </c>
      <c r="I89" s="14" t="s">
        <v>36</v>
      </c>
      <c r="J89" s="15">
        <v>2022080001</v>
      </c>
      <c r="K89" s="16" t="s">
        <v>425</v>
      </c>
      <c r="L89" s="14" t="s">
        <v>38</v>
      </c>
      <c r="M89" s="14" t="s">
        <v>39</v>
      </c>
      <c r="N89" s="14" t="s">
        <v>450</v>
      </c>
      <c r="O89" s="15">
        <v>2021</v>
      </c>
      <c r="P89" s="15" t="s">
        <v>434</v>
      </c>
      <c r="Q89" s="15" t="s">
        <v>499</v>
      </c>
      <c r="R89" s="15" t="s">
        <v>63</v>
      </c>
      <c r="S89" s="15" t="s">
        <v>500</v>
      </c>
      <c r="T89" s="15">
        <v>416800</v>
      </c>
      <c r="U89" s="15" t="s">
        <v>45</v>
      </c>
      <c r="V89" s="15" t="s">
        <v>36</v>
      </c>
      <c r="W89" s="15" t="s">
        <v>434</v>
      </c>
      <c r="X89" s="15" t="s">
        <v>47</v>
      </c>
      <c r="Y89" s="15" t="s">
        <v>478</v>
      </c>
      <c r="Z89" s="15" t="s">
        <v>49</v>
      </c>
      <c r="AA89" s="15" t="s">
        <v>50</v>
      </c>
      <c r="AB89" s="15" t="s">
        <v>67</v>
      </c>
      <c r="AC89" s="15" t="s">
        <v>52</v>
      </c>
      <c r="AD89" s="15" t="s">
        <v>53</v>
      </c>
      <c r="AE89" s="15" t="s">
        <v>54</v>
      </c>
      <c r="AF89" s="15" t="s">
        <v>55</v>
      </c>
      <c r="AG89" s="15"/>
      <c r="AH89" s="14" t="str">
        <f>VLOOKUP(B89,[1]Sheet1!$A$2:$F$294,6,FALSE)</f>
        <v>特别困难</v>
      </c>
      <c r="AI89" s="14">
        <f>VLOOKUP(B89,[1]Sheet1!$A$2:$F$294,4,FALSE)</f>
        <v>0</v>
      </c>
      <c r="AJ89" s="14" t="str">
        <f>VLOOKUP(B89,[1]Sheet1!$A$2:$F$294,5,FALSE)</f>
        <v>无</v>
      </c>
    </row>
    <row r="90" s="2" customFormat="1" ht="14.25" spans="1:36">
      <c r="A90" s="11">
        <v>89</v>
      </c>
      <c r="B90" s="12">
        <v>21450150331</v>
      </c>
      <c r="C90" s="13" t="s">
        <v>501</v>
      </c>
      <c r="D90" s="14" t="s">
        <v>423</v>
      </c>
      <c r="E90" s="41" t="s">
        <v>502</v>
      </c>
      <c r="F90" s="14">
        <v>15580528786</v>
      </c>
      <c r="G90" s="15">
        <v>15958269862</v>
      </c>
      <c r="H90" s="15">
        <v>19974366613</v>
      </c>
      <c r="I90" s="14" t="s">
        <v>36</v>
      </c>
      <c r="J90" s="15">
        <v>2022080001</v>
      </c>
      <c r="K90" s="16" t="s">
        <v>425</v>
      </c>
      <c r="L90" s="14" t="s">
        <v>38</v>
      </c>
      <c r="M90" s="14" t="s">
        <v>39</v>
      </c>
      <c r="N90" s="14" t="s">
        <v>486</v>
      </c>
      <c r="O90" s="15">
        <v>2021</v>
      </c>
      <c r="P90" s="15" t="s">
        <v>434</v>
      </c>
      <c r="Q90" s="15" t="s">
        <v>503</v>
      </c>
      <c r="R90" s="15" t="s">
        <v>63</v>
      </c>
      <c r="S90" s="15" t="s">
        <v>504</v>
      </c>
      <c r="T90" s="15">
        <v>416200</v>
      </c>
      <c r="U90" s="15" t="s">
        <v>45</v>
      </c>
      <c r="V90" s="15" t="s">
        <v>36</v>
      </c>
      <c r="W90" s="15" t="s">
        <v>434</v>
      </c>
      <c r="X90" s="15" t="s">
        <v>47</v>
      </c>
      <c r="Y90" s="15" t="s">
        <v>447</v>
      </c>
      <c r="Z90" s="15" t="s">
        <v>49</v>
      </c>
      <c r="AA90" s="15" t="s">
        <v>50</v>
      </c>
      <c r="AB90" s="15" t="s">
        <v>67</v>
      </c>
      <c r="AC90" s="15" t="s">
        <v>52</v>
      </c>
      <c r="AD90" s="15" t="s">
        <v>53</v>
      </c>
      <c r="AE90" s="15" t="s">
        <v>54</v>
      </c>
      <c r="AF90" s="15" t="s">
        <v>55</v>
      </c>
      <c r="AG90" s="15"/>
      <c r="AH90" s="14" t="str">
        <f>VLOOKUP(B90,[1]Sheet1!$A$2:$F$294,6,FALSE)</f>
        <v>无</v>
      </c>
      <c r="AI90" s="14">
        <f>VLOOKUP(B90,[1]Sheet1!$A$2:$F$294,4,FALSE)</f>
        <v>0</v>
      </c>
      <c r="AJ90" s="14" t="str">
        <f>VLOOKUP(B90,[1]Sheet1!$A$2:$F$294,5,FALSE)</f>
        <v>无</v>
      </c>
    </row>
    <row r="91" s="2" customFormat="1" ht="14.25" spans="1:36">
      <c r="A91" s="11">
        <v>90</v>
      </c>
      <c r="B91" s="12">
        <v>21450150334</v>
      </c>
      <c r="C91" s="13" t="s">
        <v>505</v>
      </c>
      <c r="D91" s="14" t="s">
        <v>423</v>
      </c>
      <c r="E91" s="41" t="s">
        <v>506</v>
      </c>
      <c r="F91" s="14">
        <v>18974477860</v>
      </c>
      <c r="G91" s="15">
        <v>18974491001</v>
      </c>
      <c r="H91" s="15">
        <v>15007445868</v>
      </c>
      <c r="I91" s="14" t="s">
        <v>36</v>
      </c>
      <c r="J91" s="15">
        <v>2022080001</v>
      </c>
      <c r="K91" s="16" t="s">
        <v>425</v>
      </c>
      <c r="L91" s="14" t="s">
        <v>38</v>
      </c>
      <c r="M91" s="14" t="s">
        <v>39</v>
      </c>
      <c r="N91" s="14" t="s">
        <v>486</v>
      </c>
      <c r="O91" s="15">
        <v>2021</v>
      </c>
      <c r="P91" s="15" t="s">
        <v>434</v>
      </c>
      <c r="Q91" s="15" t="s">
        <v>435</v>
      </c>
      <c r="R91" s="15" t="s">
        <v>63</v>
      </c>
      <c r="S91" s="15" t="s">
        <v>507</v>
      </c>
      <c r="T91" s="15">
        <v>427000</v>
      </c>
      <c r="U91" s="15" t="s">
        <v>45</v>
      </c>
      <c r="V91" s="15" t="s">
        <v>36</v>
      </c>
      <c r="W91" s="15" t="s">
        <v>434</v>
      </c>
      <c r="X91" s="15" t="s">
        <v>47</v>
      </c>
      <c r="Y91" s="15" t="s">
        <v>47</v>
      </c>
      <c r="Z91" s="15" t="s">
        <v>75</v>
      </c>
      <c r="AA91" s="15" t="s">
        <v>160</v>
      </c>
      <c r="AB91" s="15" t="s">
        <v>67</v>
      </c>
      <c r="AC91" s="15" t="s">
        <v>101</v>
      </c>
      <c r="AD91" s="15" t="s">
        <v>53</v>
      </c>
      <c r="AE91" s="15" t="s">
        <v>54</v>
      </c>
      <c r="AF91" s="15" t="s">
        <v>55</v>
      </c>
      <c r="AG91" s="15"/>
      <c r="AH91" s="14" t="str">
        <f>VLOOKUP(B91,[1]Sheet1!$A$2:$F$294,6,FALSE)</f>
        <v>特别困难</v>
      </c>
      <c r="AI91" s="14">
        <f>VLOOKUP(B91,[1]Sheet1!$A$2:$F$294,4,FALSE)</f>
        <v>0</v>
      </c>
      <c r="AJ91" s="14" t="str">
        <f>VLOOKUP(B91,[1]Sheet1!$A$2:$F$294,5,FALSE)</f>
        <v>无</v>
      </c>
    </row>
    <row r="92" s="2" customFormat="1" ht="14.25" spans="1:36">
      <c r="A92" s="11">
        <v>91</v>
      </c>
      <c r="B92" s="12">
        <v>21450150336</v>
      </c>
      <c r="C92" s="13" t="s">
        <v>508</v>
      </c>
      <c r="D92" s="14" t="s">
        <v>423</v>
      </c>
      <c r="E92" s="41" t="s">
        <v>509</v>
      </c>
      <c r="F92" s="14">
        <v>17711818552</v>
      </c>
      <c r="G92" s="15">
        <v>18195088005</v>
      </c>
      <c r="H92" s="15">
        <v>17711819395</v>
      </c>
      <c r="I92" s="14" t="s">
        <v>36</v>
      </c>
      <c r="J92" s="15">
        <v>2022080001</v>
      </c>
      <c r="K92" s="16" t="s">
        <v>425</v>
      </c>
      <c r="L92" s="14" t="s">
        <v>38</v>
      </c>
      <c r="M92" s="14" t="s">
        <v>39</v>
      </c>
      <c r="N92" s="14" t="s">
        <v>510</v>
      </c>
      <c r="O92" s="15">
        <v>2021</v>
      </c>
      <c r="P92" s="15" t="s">
        <v>511</v>
      </c>
      <c r="Q92" s="15" t="s">
        <v>512</v>
      </c>
      <c r="R92" s="15" t="s">
        <v>63</v>
      </c>
      <c r="S92" s="15" t="s">
        <v>513</v>
      </c>
      <c r="T92" s="15">
        <v>750400</v>
      </c>
      <c r="U92" s="15" t="s">
        <v>418</v>
      </c>
      <c r="V92" s="15" t="s">
        <v>36</v>
      </c>
      <c r="W92" s="15" t="s">
        <v>511</v>
      </c>
      <c r="X92" s="15" t="s">
        <v>47</v>
      </c>
      <c r="Y92" s="15" t="s">
        <v>447</v>
      </c>
      <c r="Z92" s="15" t="s">
        <v>75</v>
      </c>
      <c r="AA92" s="15" t="s">
        <v>50</v>
      </c>
      <c r="AB92" s="15" t="s">
        <v>67</v>
      </c>
      <c r="AC92" s="15" t="s">
        <v>52</v>
      </c>
      <c r="AD92" s="15" t="s">
        <v>53</v>
      </c>
      <c r="AE92" s="15" t="s">
        <v>54</v>
      </c>
      <c r="AF92" s="15" t="s">
        <v>55</v>
      </c>
      <c r="AG92" s="15"/>
      <c r="AH92" s="14" t="str">
        <f>VLOOKUP(B92,[1]Sheet1!$A$2:$F$294,6,FALSE)</f>
        <v>特别困难</v>
      </c>
      <c r="AI92" s="14">
        <f>VLOOKUP(B92,[1]Sheet1!$A$2:$F$294,4,FALSE)</f>
        <v>0</v>
      </c>
      <c r="AJ92" s="14" t="str">
        <f>VLOOKUP(B92,[1]Sheet1!$A$2:$F$294,5,FALSE)</f>
        <v>无</v>
      </c>
    </row>
    <row r="93" s="2" customFormat="1" ht="14.25" spans="1:36">
      <c r="A93" s="11">
        <v>92</v>
      </c>
      <c r="B93" s="12">
        <v>21450150338</v>
      </c>
      <c r="C93" s="13" t="s">
        <v>514</v>
      </c>
      <c r="D93" s="14" t="s">
        <v>423</v>
      </c>
      <c r="E93" s="41" t="s">
        <v>515</v>
      </c>
      <c r="F93" s="14">
        <v>13017139886</v>
      </c>
      <c r="G93" s="15">
        <v>18101842298</v>
      </c>
      <c r="H93" s="15">
        <v>13896439795</v>
      </c>
      <c r="I93" s="14" t="s">
        <v>36</v>
      </c>
      <c r="J93" s="15">
        <v>2022080001</v>
      </c>
      <c r="K93" s="16" t="s">
        <v>425</v>
      </c>
      <c r="L93" s="14" t="s">
        <v>38</v>
      </c>
      <c r="M93" s="14" t="s">
        <v>39</v>
      </c>
      <c r="N93" s="14" t="s">
        <v>510</v>
      </c>
      <c r="O93" s="15">
        <v>2021</v>
      </c>
      <c r="P93" s="15" t="s">
        <v>434</v>
      </c>
      <c r="Q93" s="15" t="s">
        <v>516</v>
      </c>
      <c r="R93" s="15" t="s">
        <v>63</v>
      </c>
      <c r="S93" s="15" t="s">
        <v>517</v>
      </c>
      <c r="T93" s="15">
        <v>565300</v>
      </c>
      <c r="U93" s="15" t="s">
        <v>518</v>
      </c>
      <c r="V93" s="15" t="s">
        <v>36</v>
      </c>
      <c r="W93" s="15" t="s">
        <v>434</v>
      </c>
      <c r="X93" s="15" t="s">
        <v>74</v>
      </c>
      <c r="Y93" s="15" t="s">
        <v>437</v>
      </c>
      <c r="Z93" s="15" t="s">
        <v>49</v>
      </c>
      <c r="AA93" s="15" t="s">
        <v>50</v>
      </c>
      <c r="AB93" s="15" t="s">
        <v>67</v>
      </c>
      <c r="AC93" s="15" t="s">
        <v>52</v>
      </c>
      <c r="AD93" s="15" t="s">
        <v>53</v>
      </c>
      <c r="AE93" s="15" t="s">
        <v>54</v>
      </c>
      <c r="AF93" s="15" t="s">
        <v>55</v>
      </c>
      <c r="AG93" s="15"/>
      <c r="AH93" s="14" t="str">
        <f>VLOOKUP(B93,[1]Sheet1!$A$2:$F$294,6,FALSE)</f>
        <v>一般困难</v>
      </c>
      <c r="AI93" s="14">
        <f>VLOOKUP(B93,[1]Sheet1!$A$2:$F$294,4,FALSE)</f>
        <v>0</v>
      </c>
      <c r="AJ93" s="14" t="str">
        <f>VLOOKUP(B93,[1]Sheet1!$A$2:$F$294,5,FALSE)</f>
        <v>无</v>
      </c>
    </row>
    <row r="94" s="2" customFormat="1" ht="14.25" spans="1:36">
      <c r="A94" s="11">
        <v>93</v>
      </c>
      <c r="B94" s="12">
        <v>21450150402</v>
      </c>
      <c r="C94" s="13" t="s">
        <v>519</v>
      </c>
      <c r="D94" s="14" t="s">
        <v>423</v>
      </c>
      <c r="E94" s="41" t="s">
        <v>520</v>
      </c>
      <c r="F94" s="14">
        <v>17742628972</v>
      </c>
      <c r="G94" s="15">
        <v>15322300848</v>
      </c>
      <c r="H94" s="15">
        <v>18974383872</v>
      </c>
      <c r="I94" s="14" t="s">
        <v>36</v>
      </c>
      <c r="J94" s="15">
        <v>2022080001</v>
      </c>
      <c r="K94" s="16" t="s">
        <v>425</v>
      </c>
      <c r="L94" s="14" t="s">
        <v>38</v>
      </c>
      <c r="M94" s="14" t="s">
        <v>39</v>
      </c>
      <c r="N94" s="14" t="s">
        <v>510</v>
      </c>
      <c r="O94" s="15">
        <v>2021</v>
      </c>
      <c r="P94" s="15" t="s">
        <v>434</v>
      </c>
      <c r="Q94" s="15" t="s">
        <v>521</v>
      </c>
      <c r="R94" s="15" t="s">
        <v>63</v>
      </c>
      <c r="S94" s="15" t="s">
        <v>522</v>
      </c>
      <c r="T94" s="15">
        <v>416500</v>
      </c>
      <c r="U94" s="15" t="s">
        <v>45</v>
      </c>
      <c r="V94" s="15" t="s">
        <v>36</v>
      </c>
      <c r="W94" s="15" t="s">
        <v>434</v>
      </c>
      <c r="X94" s="15" t="s">
        <v>47</v>
      </c>
      <c r="Y94" s="15" t="s">
        <v>478</v>
      </c>
      <c r="Z94" s="15" t="s">
        <v>49</v>
      </c>
      <c r="AA94" s="15" t="s">
        <v>50</v>
      </c>
      <c r="AB94" s="15" t="s">
        <v>67</v>
      </c>
      <c r="AC94" s="15" t="s">
        <v>52</v>
      </c>
      <c r="AD94" s="15" t="s">
        <v>53</v>
      </c>
      <c r="AE94" s="15" t="s">
        <v>54</v>
      </c>
      <c r="AF94" s="15" t="s">
        <v>55</v>
      </c>
      <c r="AG94" s="15"/>
      <c r="AH94" s="14" t="str">
        <f>VLOOKUP(B94,[1]Sheet1!$A$2:$F$294,6,FALSE)</f>
        <v>困难</v>
      </c>
      <c r="AI94" s="14">
        <f>VLOOKUP(B94,[1]Sheet1!$A$2:$F$294,4,FALSE)</f>
        <v>0</v>
      </c>
      <c r="AJ94" s="14" t="str">
        <f>VLOOKUP(B94,[1]Sheet1!$A$2:$F$294,5,FALSE)</f>
        <v>无</v>
      </c>
    </row>
    <row r="95" s="2" customFormat="1" ht="14.25" spans="1:36">
      <c r="A95" s="11">
        <v>94</v>
      </c>
      <c r="B95" s="12">
        <v>21450150412</v>
      </c>
      <c r="C95" s="13" t="s">
        <v>523</v>
      </c>
      <c r="D95" s="14" t="s">
        <v>423</v>
      </c>
      <c r="E95" s="41" t="s">
        <v>524</v>
      </c>
      <c r="F95" s="14">
        <v>18474448159</v>
      </c>
      <c r="G95" s="15">
        <v>13574442179</v>
      </c>
      <c r="H95" s="15">
        <v>18874421389</v>
      </c>
      <c r="I95" s="14" t="s">
        <v>36</v>
      </c>
      <c r="J95" s="15">
        <v>2022080001</v>
      </c>
      <c r="K95" s="16" t="s">
        <v>425</v>
      </c>
      <c r="L95" s="14" t="s">
        <v>38</v>
      </c>
      <c r="M95" s="14" t="s">
        <v>39</v>
      </c>
      <c r="N95" s="14" t="s">
        <v>510</v>
      </c>
      <c r="O95" s="15">
        <v>2021</v>
      </c>
      <c r="P95" s="15" t="s">
        <v>434</v>
      </c>
      <c r="Q95" s="15" t="s">
        <v>440</v>
      </c>
      <c r="R95" s="15" t="s">
        <v>63</v>
      </c>
      <c r="S95" s="15" t="s">
        <v>525</v>
      </c>
      <c r="T95" s="15">
        <v>427400</v>
      </c>
      <c r="U95" s="15" t="s">
        <v>45</v>
      </c>
      <c r="V95" s="15" t="s">
        <v>36</v>
      </c>
      <c r="W95" s="15" t="s">
        <v>434</v>
      </c>
      <c r="X95" s="15" t="s">
        <v>47</v>
      </c>
      <c r="Y95" s="15" t="s">
        <v>442</v>
      </c>
      <c r="Z95" s="15" t="s">
        <v>75</v>
      </c>
      <c r="AA95" s="15" t="s">
        <v>50</v>
      </c>
      <c r="AB95" s="15" t="s">
        <v>67</v>
      </c>
      <c r="AC95" s="15" t="s">
        <v>52</v>
      </c>
      <c r="AD95" s="15" t="s">
        <v>53</v>
      </c>
      <c r="AE95" s="15" t="s">
        <v>54</v>
      </c>
      <c r="AF95" s="15" t="s">
        <v>55</v>
      </c>
      <c r="AG95" s="15"/>
      <c r="AH95" s="14" t="str">
        <f>VLOOKUP(B95,[1]Sheet1!$A$2:$F$294,6,FALSE)</f>
        <v>无</v>
      </c>
      <c r="AI95" s="14">
        <f>VLOOKUP(B95,[1]Sheet1!$A$2:$F$294,4,FALSE)</f>
        <v>0</v>
      </c>
      <c r="AJ95" s="14" t="str">
        <f>VLOOKUP(B95,[1]Sheet1!$A$2:$F$294,5,FALSE)</f>
        <v>无</v>
      </c>
    </row>
    <row r="96" s="2" customFormat="1" ht="14.25" spans="1:36">
      <c r="A96" s="11">
        <v>95</v>
      </c>
      <c r="B96" s="12">
        <v>21450150426</v>
      </c>
      <c r="C96" s="13" t="s">
        <v>526</v>
      </c>
      <c r="D96" s="14" t="s">
        <v>423</v>
      </c>
      <c r="E96" s="41" t="s">
        <v>527</v>
      </c>
      <c r="F96" s="14">
        <v>17674606484</v>
      </c>
      <c r="G96" s="15">
        <v>15211696199</v>
      </c>
      <c r="H96" s="15">
        <v>13487461164</v>
      </c>
      <c r="I96" s="14" t="s">
        <v>58</v>
      </c>
      <c r="J96" s="15">
        <v>2022080001</v>
      </c>
      <c r="K96" s="16" t="s">
        <v>425</v>
      </c>
      <c r="L96" s="14" t="s">
        <v>59</v>
      </c>
      <c r="M96" s="14" t="s">
        <v>206</v>
      </c>
      <c r="N96" s="14" t="s">
        <v>528</v>
      </c>
      <c r="O96" s="15">
        <v>2021</v>
      </c>
      <c r="P96" s="15" t="s">
        <v>482</v>
      </c>
      <c r="Q96" s="15" t="s">
        <v>115</v>
      </c>
      <c r="R96" s="15" t="s">
        <v>43</v>
      </c>
      <c r="S96" s="15" t="s">
        <v>529</v>
      </c>
      <c r="T96" s="15">
        <v>425400</v>
      </c>
      <c r="U96" s="15" t="s">
        <v>45</v>
      </c>
      <c r="V96" s="15" t="s">
        <v>58</v>
      </c>
      <c r="W96" s="15" t="s">
        <v>482</v>
      </c>
      <c r="X96" s="15" t="s">
        <v>47</v>
      </c>
      <c r="Y96" s="15" t="s">
        <v>478</v>
      </c>
      <c r="Z96" s="15" t="s">
        <v>75</v>
      </c>
      <c r="AA96" s="15" t="s">
        <v>50</v>
      </c>
      <c r="AB96" s="15" t="s">
        <v>67</v>
      </c>
      <c r="AC96" s="15" t="s">
        <v>52</v>
      </c>
      <c r="AD96" s="15" t="s">
        <v>53</v>
      </c>
      <c r="AE96" s="15" t="s">
        <v>54</v>
      </c>
      <c r="AF96" s="15" t="s">
        <v>55</v>
      </c>
      <c r="AG96" s="15"/>
      <c r="AH96" s="14" t="str">
        <f>VLOOKUP(B96,[1]Sheet1!$A$2:$F$294,6,FALSE)</f>
        <v>一般困难</v>
      </c>
      <c r="AI96" s="14">
        <f>VLOOKUP(B96,[1]Sheet1!$A$2:$F$294,4,FALSE)</f>
        <v>0</v>
      </c>
      <c r="AJ96" s="14" t="str">
        <f>VLOOKUP(B96,[1]Sheet1!$A$2:$F$294,5,FALSE)</f>
        <v>无</v>
      </c>
    </row>
    <row r="97" s="2" customFormat="1" ht="14.25" spans="1:36">
      <c r="A97" s="11">
        <v>96</v>
      </c>
      <c r="B97" s="12">
        <v>21450150428</v>
      </c>
      <c r="C97" s="13" t="s">
        <v>530</v>
      </c>
      <c r="D97" s="14" t="s">
        <v>423</v>
      </c>
      <c r="E97" s="41" t="s">
        <v>531</v>
      </c>
      <c r="F97" s="14">
        <v>15343095209</v>
      </c>
      <c r="G97" s="15">
        <v>18890474616</v>
      </c>
      <c r="H97" s="15" t="s">
        <v>239</v>
      </c>
      <c r="I97" s="14" t="s">
        <v>58</v>
      </c>
      <c r="J97" s="15">
        <v>2022080001</v>
      </c>
      <c r="K97" s="16" t="s">
        <v>425</v>
      </c>
      <c r="L97" s="14" t="s">
        <v>59</v>
      </c>
      <c r="M97" s="14" t="s">
        <v>206</v>
      </c>
      <c r="N97" s="14" t="s">
        <v>528</v>
      </c>
      <c r="O97" s="15">
        <v>2021</v>
      </c>
      <c r="P97" s="15" t="s">
        <v>482</v>
      </c>
      <c r="Q97" s="15" t="s">
        <v>194</v>
      </c>
      <c r="R97" s="15" t="s">
        <v>63</v>
      </c>
      <c r="S97" s="15" t="s">
        <v>532</v>
      </c>
      <c r="T97" s="15">
        <v>422328</v>
      </c>
      <c r="U97" s="15" t="s">
        <v>45</v>
      </c>
      <c r="V97" s="15" t="s">
        <v>58</v>
      </c>
      <c r="W97" s="15" t="s">
        <v>482</v>
      </c>
      <c r="X97" s="15" t="s">
        <v>74</v>
      </c>
      <c r="Y97" s="15" t="s">
        <v>437</v>
      </c>
      <c r="Z97" s="15" t="s">
        <v>49</v>
      </c>
      <c r="AA97" s="15" t="s">
        <v>50</v>
      </c>
      <c r="AB97" s="15" t="s">
        <v>67</v>
      </c>
      <c r="AC97" s="15" t="s">
        <v>52</v>
      </c>
      <c r="AD97" s="15" t="s">
        <v>53</v>
      </c>
      <c r="AE97" s="15" t="s">
        <v>54</v>
      </c>
      <c r="AF97" s="15" t="s">
        <v>55</v>
      </c>
      <c r="AG97" s="15"/>
      <c r="AH97" s="14" t="str">
        <f>VLOOKUP(B97,[1]Sheet1!$A$2:$F$294,6,FALSE)</f>
        <v>无</v>
      </c>
      <c r="AI97" s="14">
        <f>VLOOKUP(B97,[1]Sheet1!$A$2:$F$294,4,FALSE)</f>
        <v>0</v>
      </c>
      <c r="AJ97" s="14" t="str">
        <f>VLOOKUP(B97,[1]Sheet1!$A$2:$F$294,5,FALSE)</f>
        <v>无</v>
      </c>
    </row>
    <row r="98" s="2" customFormat="1" ht="14.25" spans="1:36">
      <c r="A98" s="11">
        <v>97</v>
      </c>
      <c r="B98" s="12">
        <v>21450150429</v>
      </c>
      <c r="C98" s="13" t="s">
        <v>533</v>
      </c>
      <c r="D98" s="14" t="s">
        <v>423</v>
      </c>
      <c r="E98" s="41" t="s">
        <v>534</v>
      </c>
      <c r="F98" s="14">
        <v>15580530260</v>
      </c>
      <c r="G98" s="15">
        <v>13735300643</v>
      </c>
      <c r="H98" s="15">
        <v>17369430705</v>
      </c>
      <c r="I98" s="14" t="s">
        <v>58</v>
      </c>
      <c r="J98" s="15">
        <v>2022080001</v>
      </c>
      <c r="K98" s="16" t="s">
        <v>425</v>
      </c>
      <c r="L98" s="14" t="s">
        <v>59</v>
      </c>
      <c r="M98" s="14" t="s">
        <v>206</v>
      </c>
      <c r="N98" s="14" t="s">
        <v>528</v>
      </c>
      <c r="O98" s="15">
        <v>2021</v>
      </c>
      <c r="P98" s="15" t="s">
        <v>487</v>
      </c>
      <c r="Q98" s="15" t="s">
        <v>503</v>
      </c>
      <c r="R98" s="15" t="s">
        <v>63</v>
      </c>
      <c r="S98" s="15" t="s">
        <v>535</v>
      </c>
      <c r="T98" s="15">
        <v>416102</v>
      </c>
      <c r="U98" s="15" t="s">
        <v>45</v>
      </c>
      <c r="V98" s="15" t="s">
        <v>58</v>
      </c>
      <c r="W98" s="15" t="s">
        <v>487</v>
      </c>
      <c r="X98" s="15" t="s">
        <v>74</v>
      </c>
      <c r="Y98" s="15" t="s">
        <v>431</v>
      </c>
      <c r="Z98" s="15" t="s">
        <v>49</v>
      </c>
      <c r="AA98" s="15" t="s">
        <v>100</v>
      </c>
      <c r="AB98" s="15" t="s">
        <v>67</v>
      </c>
      <c r="AC98" s="15" t="s">
        <v>52</v>
      </c>
      <c r="AD98" s="15" t="s">
        <v>53</v>
      </c>
      <c r="AE98" s="15" t="s">
        <v>54</v>
      </c>
      <c r="AF98" s="15" t="s">
        <v>55</v>
      </c>
      <c r="AG98" s="15"/>
      <c r="AH98" s="14" t="str">
        <f>VLOOKUP(B98,[1]Sheet1!$A$2:$F$294,6,FALSE)</f>
        <v>无</v>
      </c>
      <c r="AI98" s="14">
        <f>VLOOKUP(B98,[1]Sheet1!$A$2:$F$294,4,FALSE)</f>
        <v>0</v>
      </c>
      <c r="AJ98" s="14" t="str">
        <f>VLOOKUP(B98,[1]Sheet1!$A$2:$F$294,5,FALSE)</f>
        <v>无</v>
      </c>
    </row>
    <row r="99" s="2" customFormat="1" ht="14.25" spans="1:36">
      <c r="A99" s="11">
        <v>98</v>
      </c>
      <c r="B99" s="12">
        <v>21450150432</v>
      </c>
      <c r="C99" s="13" t="s">
        <v>536</v>
      </c>
      <c r="D99" s="14" t="s">
        <v>423</v>
      </c>
      <c r="E99" s="41" t="s">
        <v>537</v>
      </c>
      <c r="F99" s="14">
        <v>18229534108</v>
      </c>
      <c r="G99" s="15">
        <v>13508434032</v>
      </c>
      <c r="H99" s="15">
        <v>18374388551</v>
      </c>
      <c r="I99" s="14" t="s">
        <v>58</v>
      </c>
      <c r="J99" s="15">
        <v>2022080001</v>
      </c>
      <c r="K99" s="16" t="s">
        <v>425</v>
      </c>
      <c r="L99" s="14" t="s">
        <v>59</v>
      </c>
      <c r="M99" s="14" t="s">
        <v>206</v>
      </c>
      <c r="N99" s="14" t="s">
        <v>528</v>
      </c>
      <c r="O99" s="15">
        <v>2021</v>
      </c>
      <c r="P99" s="15" t="s">
        <v>434</v>
      </c>
      <c r="Q99" s="15" t="s">
        <v>503</v>
      </c>
      <c r="R99" s="15" t="s">
        <v>63</v>
      </c>
      <c r="S99" s="15" t="s">
        <v>538</v>
      </c>
      <c r="T99" s="15">
        <v>416800</v>
      </c>
      <c r="U99" s="15" t="s">
        <v>45</v>
      </c>
      <c r="V99" s="15" t="s">
        <v>58</v>
      </c>
      <c r="W99" s="15" t="s">
        <v>434</v>
      </c>
      <c r="X99" s="15" t="s">
        <v>74</v>
      </c>
      <c r="Y99" s="15" t="s">
        <v>437</v>
      </c>
      <c r="Z99" s="15" t="s">
        <v>49</v>
      </c>
      <c r="AA99" s="15" t="s">
        <v>50</v>
      </c>
      <c r="AB99" s="15" t="s">
        <v>67</v>
      </c>
      <c r="AC99" s="15" t="s">
        <v>52</v>
      </c>
      <c r="AD99" s="15" t="s">
        <v>53</v>
      </c>
      <c r="AE99" s="15" t="s">
        <v>54</v>
      </c>
      <c r="AF99" s="15" t="s">
        <v>55</v>
      </c>
      <c r="AG99" s="15"/>
      <c r="AH99" s="14" t="str">
        <f>VLOOKUP(B99,[1]Sheet1!$A$2:$F$294,6,FALSE)</f>
        <v>无</v>
      </c>
      <c r="AI99" s="14">
        <f>VLOOKUP(B99,[1]Sheet1!$A$2:$F$294,4,FALSE)</f>
        <v>0</v>
      </c>
      <c r="AJ99" s="14" t="str">
        <f>VLOOKUP(B99,[1]Sheet1!$A$2:$F$294,5,FALSE)</f>
        <v>无</v>
      </c>
    </row>
    <row r="100" s="2" customFormat="1" ht="14.25" spans="1:36">
      <c r="A100" s="11">
        <v>99</v>
      </c>
      <c r="B100" s="12">
        <v>21450150511</v>
      </c>
      <c r="C100" s="13" t="s">
        <v>539</v>
      </c>
      <c r="D100" s="14" t="s">
        <v>423</v>
      </c>
      <c r="E100" s="41" t="s">
        <v>540</v>
      </c>
      <c r="F100" s="14">
        <v>18670458925</v>
      </c>
      <c r="G100" s="15">
        <v>18675686270</v>
      </c>
      <c r="H100" s="15">
        <v>18774706408</v>
      </c>
      <c r="I100" s="14" t="s">
        <v>58</v>
      </c>
      <c r="J100" s="15">
        <v>2022080001</v>
      </c>
      <c r="K100" s="16" t="s">
        <v>425</v>
      </c>
      <c r="L100" s="14" t="s">
        <v>59</v>
      </c>
      <c r="M100" s="14" t="s">
        <v>206</v>
      </c>
      <c r="N100" s="14" t="s">
        <v>541</v>
      </c>
      <c r="O100" s="15">
        <v>2021</v>
      </c>
      <c r="P100" s="15" t="s">
        <v>542</v>
      </c>
      <c r="Q100" s="15" t="s">
        <v>289</v>
      </c>
      <c r="R100" s="15" t="s">
        <v>63</v>
      </c>
      <c r="S100" s="15" t="s">
        <v>543</v>
      </c>
      <c r="T100" s="15">
        <v>419100</v>
      </c>
      <c r="U100" s="15" t="s">
        <v>45</v>
      </c>
      <c r="V100" s="15" t="s">
        <v>58</v>
      </c>
      <c r="W100" s="15" t="s">
        <v>542</v>
      </c>
      <c r="X100" s="15" t="s">
        <v>74</v>
      </c>
      <c r="Y100" s="15" t="s">
        <v>478</v>
      </c>
      <c r="Z100" s="15" t="s">
        <v>49</v>
      </c>
      <c r="AA100" s="15" t="s">
        <v>50</v>
      </c>
      <c r="AB100" s="15" t="s">
        <v>67</v>
      </c>
      <c r="AC100" s="15" t="s">
        <v>52</v>
      </c>
      <c r="AD100" s="15" t="s">
        <v>53</v>
      </c>
      <c r="AE100" s="15" t="s">
        <v>54</v>
      </c>
      <c r="AF100" s="15" t="s">
        <v>55</v>
      </c>
      <c r="AG100" s="15"/>
      <c r="AH100" s="14" t="str">
        <f>VLOOKUP(B100,[1]Sheet1!$A$2:$F$294,6,FALSE)</f>
        <v>无</v>
      </c>
      <c r="AI100" s="14">
        <f>VLOOKUP(B100,[1]Sheet1!$A$2:$F$294,4,FALSE)</f>
        <v>0</v>
      </c>
      <c r="AJ100" s="14" t="str">
        <f>VLOOKUP(B100,[1]Sheet1!$A$2:$F$294,5,FALSE)</f>
        <v>无</v>
      </c>
    </row>
    <row r="101" s="2" customFormat="1" ht="14.25" spans="1:36">
      <c r="A101" s="11">
        <v>100</v>
      </c>
      <c r="B101" s="12">
        <v>21450150512</v>
      </c>
      <c r="C101" s="13" t="s">
        <v>544</v>
      </c>
      <c r="D101" s="14" t="s">
        <v>423</v>
      </c>
      <c r="E101" s="41" t="s">
        <v>545</v>
      </c>
      <c r="F101" s="14">
        <v>18195086267</v>
      </c>
      <c r="G101" s="15">
        <v>15296979111</v>
      </c>
      <c r="H101" s="15">
        <v>13723303029</v>
      </c>
      <c r="I101" s="14" t="s">
        <v>58</v>
      </c>
      <c r="J101" s="15">
        <v>2022080001</v>
      </c>
      <c r="K101" s="16" t="s">
        <v>425</v>
      </c>
      <c r="L101" s="14" t="s">
        <v>59</v>
      </c>
      <c r="M101" s="14" t="s">
        <v>206</v>
      </c>
      <c r="N101" s="14" t="s">
        <v>541</v>
      </c>
      <c r="O101" s="15">
        <v>2021</v>
      </c>
      <c r="P101" s="15" t="s">
        <v>511</v>
      </c>
      <c r="Q101" s="15" t="s">
        <v>546</v>
      </c>
      <c r="R101" s="15" t="s">
        <v>63</v>
      </c>
      <c r="S101" s="15" t="s">
        <v>547</v>
      </c>
      <c r="T101" s="15">
        <v>751400</v>
      </c>
      <c r="U101" s="15" t="s">
        <v>418</v>
      </c>
      <c r="V101" s="15" t="s">
        <v>58</v>
      </c>
      <c r="W101" s="15" t="s">
        <v>511</v>
      </c>
      <c r="X101" s="15" t="s">
        <v>47</v>
      </c>
      <c r="Y101" s="15" t="s">
        <v>47</v>
      </c>
      <c r="Z101" s="15" t="s">
        <v>75</v>
      </c>
      <c r="AA101" s="15" t="s">
        <v>160</v>
      </c>
      <c r="AB101" s="15" t="s">
        <v>67</v>
      </c>
      <c r="AC101" s="15" t="s">
        <v>101</v>
      </c>
      <c r="AD101" s="15" t="s">
        <v>53</v>
      </c>
      <c r="AE101" s="15" t="s">
        <v>54</v>
      </c>
      <c r="AF101" s="15" t="s">
        <v>55</v>
      </c>
      <c r="AG101" s="15"/>
      <c r="AH101" s="14" t="str">
        <f>VLOOKUP(B101,[1]Sheet1!$A$2:$F$294,6,FALSE)</f>
        <v>无</v>
      </c>
      <c r="AI101" s="14">
        <f>VLOOKUP(B101,[1]Sheet1!$A$2:$F$294,4,FALSE)</f>
        <v>0</v>
      </c>
      <c r="AJ101" s="14" t="str">
        <f>VLOOKUP(B101,[1]Sheet1!$A$2:$F$294,5,FALSE)</f>
        <v>无</v>
      </c>
    </row>
    <row r="102" s="2" customFormat="1" ht="14.25" spans="1:36">
      <c r="A102" s="11">
        <v>101</v>
      </c>
      <c r="B102" s="12">
        <v>21450150531</v>
      </c>
      <c r="C102" s="13" t="s">
        <v>548</v>
      </c>
      <c r="D102" s="14" t="s">
        <v>423</v>
      </c>
      <c r="E102" s="41" t="s">
        <v>549</v>
      </c>
      <c r="F102" s="14">
        <v>13874778926</v>
      </c>
      <c r="G102" s="15">
        <v>13974686362</v>
      </c>
      <c r="H102" s="15" t="s">
        <v>239</v>
      </c>
      <c r="I102" s="14" t="s">
        <v>58</v>
      </c>
      <c r="J102" s="15">
        <v>2022080001</v>
      </c>
      <c r="K102" s="16" t="s">
        <v>425</v>
      </c>
      <c r="L102" s="14" t="s">
        <v>59</v>
      </c>
      <c r="M102" s="14" t="s">
        <v>206</v>
      </c>
      <c r="N102" s="14" t="s">
        <v>541</v>
      </c>
      <c r="O102" s="15">
        <v>2021</v>
      </c>
      <c r="P102" s="15" t="s">
        <v>482</v>
      </c>
      <c r="Q102" s="15" t="s">
        <v>115</v>
      </c>
      <c r="R102" s="15" t="s">
        <v>63</v>
      </c>
      <c r="S102" s="15" t="s">
        <v>550</v>
      </c>
      <c r="T102" s="15">
        <v>425500</v>
      </c>
      <c r="U102" s="15" t="s">
        <v>45</v>
      </c>
      <c r="V102" s="15" t="s">
        <v>58</v>
      </c>
      <c r="W102" s="15" t="s">
        <v>482</v>
      </c>
      <c r="X102" s="15" t="s">
        <v>74</v>
      </c>
      <c r="Y102" s="15" t="s">
        <v>431</v>
      </c>
      <c r="Z102" s="15" t="s">
        <v>49</v>
      </c>
      <c r="AA102" s="15" t="s">
        <v>160</v>
      </c>
      <c r="AB102" s="15" t="s">
        <v>67</v>
      </c>
      <c r="AC102" s="15" t="s">
        <v>52</v>
      </c>
      <c r="AD102" s="15" t="s">
        <v>53</v>
      </c>
      <c r="AE102" s="15" t="s">
        <v>54</v>
      </c>
      <c r="AF102" s="15" t="s">
        <v>55</v>
      </c>
      <c r="AG102" s="15"/>
      <c r="AH102" s="14" t="str">
        <f>VLOOKUP(B102,[1]Sheet1!$A$2:$F$294,6,FALSE)</f>
        <v>无</v>
      </c>
      <c r="AI102" s="14">
        <f>VLOOKUP(B102,[1]Sheet1!$A$2:$F$294,4,FALSE)</f>
        <v>0</v>
      </c>
      <c r="AJ102" s="14" t="str">
        <f>VLOOKUP(B102,[1]Sheet1!$A$2:$F$294,5,FALSE)</f>
        <v>无</v>
      </c>
    </row>
    <row r="103" s="2" customFormat="1" ht="14.25" spans="1:36">
      <c r="A103" s="11">
        <v>102</v>
      </c>
      <c r="B103" s="12">
        <v>21450150535</v>
      </c>
      <c r="C103" s="13" t="s">
        <v>551</v>
      </c>
      <c r="D103" s="14" t="s">
        <v>423</v>
      </c>
      <c r="E103" s="15" t="s">
        <v>552</v>
      </c>
      <c r="F103" s="14">
        <v>13037330289</v>
      </c>
      <c r="G103" s="15">
        <v>18189235899</v>
      </c>
      <c r="H103" s="15">
        <v>18149009579</v>
      </c>
      <c r="I103" s="14" t="s">
        <v>36</v>
      </c>
      <c r="J103" s="15">
        <v>2022080001</v>
      </c>
      <c r="K103" s="16" t="s">
        <v>425</v>
      </c>
      <c r="L103" s="14" t="s">
        <v>38</v>
      </c>
      <c r="M103" s="14" t="s">
        <v>39</v>
      </c>
      <c r="N103" s="14" t="s">
        <v>553</v>
      </c>
      <c r="O103" s="15">
        <v>2021</v>
      </c>
      <c r="P103" s="15" t="s">
        <v>511</v>
      </c>
      <c r="Q103" s="15" t="s">
        <v>554</v>
      </c>
      <c r="R103" s="15" t="s">
        <v>63</v>
      </c>
      <c r="S103" s="15" t="s">
        <v>555</v>
      </c>
      <c r="T103" s="15">
        <v>711504</v>
      </c>
      <c r="U103" s="15" t="s">
        <v>190</v>
      </c>
      <c r="V103" s="15" t="s">
        <v>36</v>
      </c>
      <c r="W103" s="15" t="s">
        <v>511</v>
      </c>
      <c r="X103" s="15" t="s">
        <v>74</v>
      </c>
      <c r="Y103" s="15" t="s">
        <v>478</v>
      </c>
      <c r="Z103" s="15" t="s">
        <v>49</v>
      </c>
      <c r="AA103" s="15" t="s">
        <v>50</v>
      </c>
      <c r="AB103" s="15" t="s">
        <v>67</v>
      </c>
      <c r="AC103" s="15" t="s">
        <v>52</v>
      </c>
      <c r="AD103" s="15" t="s">
        <v>53</v>
      </c>
      <c r="AE103" s="15" t="s">
        <v>54</v>
      </c>
      <c r="AF103" s="15" t="s">
        <v>55</v>
      </c>
      <c r="AG103" s="15"/>
      <c r="AH103" s="14" t="str">
        <f>VLOOKUP(B103,[1]Sheet1!$A$2:$F$294,6,FALSE)</f>
        <v>无</v>
      </c>
      <c r="AI103" s="14">
        <f>VLOOKUP(B103,[1]Sheet1!$A$2:$F$294,4,FALSE)</f>
        <v>1</v>
      </c>
      <c r="AJ103" s="14" t="str">
        <f>VLOOKUP(B103,[1]Sheet1!$A$2:$F$294,5,FALSE)</f>
        <v>算法设计与分析</v>
      </c>
    </row>
    <row r="104" s="2" customFormat="1" ht="14.25" spans="1:36">
      <c r="A104" s="11">
        <v>103</v>
      </c>
      <c r="B104" s="12">
        <v>21450150605</v>
      </c>
      <c r="C104" s="13" t="s">
        <v>556</v>
      </c>
      <c r="D104" s="14" t="s">
        <v>423</v>
      </c>
      <c r="E104" s="41" t="s">
        <v>557</v>
      </c>
      <c r="F104" s="14">
        <v>18787043890</v>
      </c>
      <c r="G104" s="15">
        <v>13888335503</v>
      </c>
      <c r="H104" s="15">
        <v>18206709962</v>
      </c>
      <c r="I104" s="14" t="s">
        <v>36</v>
      </c>
      <c r="J104" s="15">
        <v>2022080001</v>
      </c>
      <c r="K104" s="16" t="s">
        <v>425</v>
      </c>
      <c r="L104" s="14" t="s">
        <v>38</v>
      </c>
      <c r="M104" s="14" t="s">
        <v>39</v>
      </c>
      <c r="N104" s="14" t="s">
        <v>553</v>
      </c>
      <c r="O104" s="15">
        <v>2021</v>
      </c>
      <c r="P104" s="15" t="s">
        <v>487</v>
      </c>
      <c r="Q104" s="15" t="s">
        <v>558</v>
      </c>
      <c r="R104" s="15" t="s">
        <v>63</v>
      </c>
      <c r="S104" s="15" t="s">
        <v>559</v>
      </c>
      <c r="T104" s="15">
        <v>650000</v>
      </c>
      <c r="U104" s="15" t="s">
        <v>196</v>
      </c>
      <c r="V104" s="15" t="s">
        <v>36</v>
      </c>
      <c r="W104" s="15" t="s">
        <v>487</v>
      </c>
      <c r="X104" s="15" t="s">
        <v>74</v>
      </c>
      <c r="Y104" s="15" t="s">
        <v>47</v>
      </c>
      <c r="Z104" s="15" t="s">
        <v>75</v>
      </c>
      <c r="AA104" s="15" t="s">
        <v>50</v>
      </c>
      <c r="AB104" s="15" t="s">
        <v>67</v>
      </c>
      <c r="AC104" s="15" t="s">
        <v>52</v>
      </c>
      <c r="AD104" s="15" t="s">
        <v>53</v>
      </c>
      <c r="AE104" s="15" t="s">
        <v>54</v>
      </c>
      <c r="AF104" s="15" t="s">
        <v>55</v>
      </c>
      <c r="AG104" s="15"/>
      <c r="AH104" s="14" t="str">
        <f>VLOOKUP(B104,[1]Sheet1!$A$2:$F$294,6,FALSE)</f>
        <v>无</v>
      </c>
      <c r="AI104" s="14">
        <f>VLOOKUP(B104,[1]Sheet1!$A$2:$F$294,4,FALSE)</f>
        <v>0</v>
      </c>
      <c r="AJ104" s="14" t="str">
        <f>VLOOKUP(B104,[1]Sheet1!$A$2:$F$294,5,FALSE)</f>
        <v>无</v>
      </c>
    </row>
    <row r="105" s="2" customFormat="1" ht="14.25" spans="1:36">
      <c r="A105" s="11">
        <v>104</v>
      </c>
      <c r="B105" s="12">
        <v>21450150610</v>
      </c>
      <c r="C105" s="13" t="s">
        <v>560</v>
      </c>
      <c r="D105" s="14" t="s">
        <v>423</v>
      </c>
      <c r="E105" s="41" t="s">
        <v>561</v>
      </c>
      <c r="F105" s="14">
        <v>18374332011</v>
      </c>
      <c r="G105" s="15">
        <v>13974372001</v>
      </c>
      <c r="H105" s="15">
        <v>18106085689</v>
      </c>
      <c r="I105" s="14" t="s">
        <v>58</v>
      </c>
      <c r="J105" s="15">
        <v>2022080001</v>
      </c>
      <c r="K105" s="16" t="s">
        <v>425</v>
      </c>
      <c r="L105" s="14" t="s">
        <v>59</v>
      </c>
      <c r="M105" s="14" t="s">
        <v>206</v>
      </c>
      <c r="N105" s="14" t="s">
        <v>541</v>
      </c>
      <c r="O105" s="15">
        <v>2021</v>
      </c>
      <c r="P105" s="15" t="s">
        <v>434</v>
      </c>
      <c r="Q105" s="15" t="s">
        <v>562</v>
      </c>
      <c r="R105" s="15" t="s">
        <v>63</v>
      </c>
      <c r="S105" s="15" t="s">
        <v>563</v>
      </c>
      <c r="T105" s="15">
        <v>416000</v>
      </c>
      <c r="U105" s="15" t="s">
        <v>45</v>
      </c>
      <c r="V105" s="15" t="s">
        <v>58</v>
      </c>
      <c r="W105" s="15" t="s">
        <v>434</v>
      </c>
      <c r="X105" s="15" t="s">
        <v>74</v>
      </c>
      <c r="Y105" s="15" t="s">
        <v>47</v>
      </c>
      <c r="Z105" s="15" t="s">
        <v>75</v>
      </c>
      <c r="AA105" s="15" t="s">
        <v>160</v>
      </c>
      <c r="AB105" s="15" t="s">
        <v>67</v>
      </c>
      <c r="AC105" s="15" t="s">
        <v>101</v>
      </c>
      <c r="AD105" s="15" t="s">
        <v>53</v>
      </c>
      <c r="AE105" s="15" t="s">
        <v>54</v>
      </c>
      <c r="AF105" s="15" t="s">
        <v>55</v>
      </c>
      <c r="AG105" s="15"/>
      <c r="AH105" s="14" t="str">
        <f>VLOOKUP(B105,[1]Sheet1!$A$2:$F$294,6,FALSE)</f>
        <v>无</v>
      </c>
      <c r="AI105" s="14">
        <f>VLOOKUP(B105,[1]Sheet1!$A$2:$F$294,4,FALSE)</f>
        <v>0</v>
      </c>
      <c r="AJ105" s="14" t="str">
        <f>VLOOKUP(B105,[1]Sheet1!$A$2:$F$294,5,FALSE)</f>
        <v>无</v>
      </c>
    </row>
    <row r="106" s="2" customFormat="1" ht="14.25" spans="1:36">
      <c r="A106" s="11">
        <v>105</v>
      </c>
      <c r="B106" s="12">
        <v>21450150611</v>
      </c>
      <c r="C106" s="13" t="s">
        <v>564</v>
      </c>
      <c r="D106" s="14" t="s">
        <v>423</v>
      </c>
      <c r="E106" s="41" t="s">
        <v>565</v>
      </c>
      <c r="F106" s="14">
        <v>17369446104</v>
      </c>
      <c r="G106" s="15">
        <v>15874421182</v>
      </c>
      <c r="H106" s="15">
        <v>17397291981</v>
      </c>
      <c r="I106" s="14" t="s">
        <v>58</v>
      </c>
      <c r="J106" s="15">
        <v>2022080001</v>
      </c>
      <c r="K106" s="16" t="s">
        <v>425</v>
      </c>
      <c r="L106" s="14" t="s">
        <v>59</v>
      </c>
      <c r="M106" s="14" t="s">
        <v>206</v>
      </c>
      <c r="N106" s="14" t="s">
        <v>566</v>
      </c>
      <c r="O106" s="15">
        <v>2021</v>
      </c>
      <c r="P106" s="15" t="s">
        <v>434</v>
      </c>
      <c r="Q106" s="15" t="s">
        <v>435</v>
      </c>
      <c r="R106" s="15" t="s">
        <v>63</v>
      </c>
      <c r="S106" s="15" t="s">
        <v>567</v>
      </c>
      <c r="T106" s="15">
        <v>427109</v>
      </c>
      <c r="U106" s="15" t="s">
        <v>45</v>
      </c>
      <c r="V106" s="15" t="s">
        <v>58</v>
      </c>
      <c r="W106" s="15" t="s">
        <v>434</v>
      </c>
      <c r="X106" s="15" t="s">
        <v>47</v>
      </c>
      <c r="Y106" s="15" t="s">
        <v>437</v>
      </c>
      <c r="Z106" s="15" t="s">
        <v>49</v>
      </c>
      <c r="AA106" s="15" t="s">
        <v>50</v>
      </c>
      <c r="AB106" s="15" t="s">
        <v>67</v>
      </c>
      <c r="AC106" s="15" t="s">
        <v>52</v>
      </c>
      <c r="AD106" s="15" t="s">
        <v>53</v>
      </c>
      <c r="AE106" s="15" t="s">
        <v>54</v>
      </c>
      <c r="AF106" s="15" t="s">
        <v>55</v>
      </c>
      <c r="AG106" s="15"/>
      <c r="AH106" s="14" t="str">
        <f>VLOOKUP(B106,[1]Sheet1!$A$2:$F$294,6,FALSE)</f>
        <v>无</v>
      </c>
      <c r="AI106" s="14">
        <f>VLOOKUP(B106,[1]Sheet1!$A$2:$F$294,4,FALSE)</f>
        <v>0</v>
      </c>
      <c r="AJ106" s="14" t="str">
        <f>VLOOKUP(B106,[1]Sheet1!$A$2:$F$294,5,FALSE)</f>
        <v>无</v>
      </c>
    </row>
    <row r="107" s="2" customFormat="1" ht="14.25" spans="1:36">
      <c r="A107" s="11">
        <v>106</v>
      </c>
      <c r="B107" s="12">
        <v>21450150620</v>
      </c>
      <c r="C107" s="13" t="s">
        <v>568</v>
      </c>
      <c r="D107" s="14" t="s">
        <v>423</v>
      </c>
      <c r="E107" s="41" t="s">
        <v>569</v>
      </c>
      <c r="F107" s="14">
        <v>19974320782</v>
      </c>
      <c r="G107" s="15">
        <v>17774378922</v>
      </c>
      <c r="H107" s="15">
        <v>15874382006</v>
      </c>
      <c r="I107" s="14" t="s">
        <v>36</v>
      </c>
      <c r="J107" s="15">
        <v>2022080001</v>
      </c>
      <c r="K107" s="16" t="s">
        <v>425</v>
      </c>
      <c r="L107" s="14" t="s">
        <v>38</v>
      </c>
      <c r="M107" s="14" t="s">
        <v>39</v>
      </c>
      <c r="N107" s="14" t="s">
        <v>553</v>
      </c>
      <c r="O107" s="15">
        <v>2021</v>
      </c>
      <c r="P107" s="15" t="s">
        <v>434</v>
      </c>
      <c r="Q107" s="15" t="s">
        <v>570</v>
      </c>
      <c r="R107" s="15" t="s">
        <v>43</v>
      </c>
      <c r="S107" s="15" t="s">
        <v>571</v>
      </c>
      <c r="T107" s="15">
        <v>416500</v>
      </c>
      <c r="U107" s="15" t="s">
        <v>45</v>
      </c>
      <c r="V107" s="15" t="s">
        <v>36</v>
      </c>
      <c r="W107" s="15" t="s">
        <v>434</v>
      </c>
      <c r="X107" s="15" t="s">
        <v>47</v>
      </c>
      <c r="Y107" s="15" t="s">
        <v>478</v>
      </c>
      <c r="Z107" s="15" t="s">
        <v>75</v>
      </c>
      <c r="AA107" s="15" t="s">
        <v>50</v>
      </c>
      <c r="AB107" s="15" t="s">
        <v>67</v>
      </c>
      <c r="AC107" s="15" t="s">
        <v>52</v>
      </c>
      <c r="AD107" s="15" t="s">
        <v>53</v>
      </c>
      <c r="AE107" s="15" t="s">
        <v>54</v>
      </c>
      <c r="AF107" s="15" t="s">
        <v>55</v>
      </c>
      <c r="AG107" s="15"/>
      <c r="AH107" s="14" t="str">
        <f>VLOOKUP(B107,[1]Sheet1!$A$2:$F$294,6,FALSE)</f>
        <v>困难</v>
      </c>
      <c r="AI107" s="14">
        <f>VLOOKUP(B107,[1]Sheet1!$A$2:$F$294,4,FALSE)</f>
        <v>0</v>
      </c>
      <c r="AJ107" s="14" t="str">
        <f>VLOOKUP(B107,[1]Sheet1!$A$2:$F$294,5,FALSE)</f>
        <v>无</v>
      </c>
    </row>
    <row r="108" s="2" customFormat="1" ht="14.25" spans="1:36">
      <c r="A108" s="11">
        <v>107</v>
      </c>
      <c r="B108" s="12">
        <v>21450150631</v>
      </c>
      <c r="C108" s="13" t="s">
        <v>572</v>
      </c>
      <c r="D108" s="14" t="s">
        <v>423</v>
      </c>
      <c r="E108" s="41" t="s">
        <v>573</v>
      </c>
      <c r="F108" s="14">
        <v>17670962283</v>
      </c>
      <c r="G108" s="15">
        <v>18773933668</v>
      </c>
      <c r="H108" s="15">
        <v>13786923597</v>
      </c>
      <c r="I108" s="14" t="s">
        <v>58</v>
      </c>
      <c r="J108" s="15">
        <v>2022080001</v>
      </c>
      <c r="K108" s="16" t="s">
        <v>425</v>
      </c>
      <c r="L108" s="14" t="s">
        <v>59</v>
      </c>
      <c r="M108" s="14" t="s">
        <v>206</v>
      </c>
      <c r="N108" s="14" t="s">
        <v>566</v>
      </c>
      <c r="O108" s="15">
        <v>2021</v>
      </c>
      <c r="P108" s="15" t="s">
        <v>487</v>
      </c>
      <c r="Q108" s="15" t="s">
        <v>194</v>
      </c>
      <c r="R108" s="15" t="s">
        <v>63</v>
      </c>
      <c r="S108" s="15" t="s">
        <v>574</v>
      </c>
      <c r="T108" s="15">
        <v>422500</v>
      </c>
      <c r="U108" s="15" t="s">
        <v>45</v>
      </c>
      <c r="V108" s="15" t="s">
        <v>58</v>
      </c>
      <c r="W108" s="15" t="s">
        <v>487</v>
      </c>
      <c r="X108" s="15" t="s">
        <v>74</v>
      </c>
      <c r="Y108" s="15" t="s">
        <v>478</v>
      </c>
      <c r="Z108" s="15" t="s">
        <v>49</v>
      </c>
      <c r="AA108" s="15" t="s">
        <v>50</v>
      </c>
      <c r="AB108" s="15" t="s">
        <v>67</v>
      </c>
      <c r="AC108" s="15" t="s">
        <v>52</v>
      </c>
      <c r="AD108" s="15" t="s">
        <v>53</v>
      </c>
      <c r="AE108" s="15" t="s">
        <v>54</v>
      </c>
      <c r="AF108" s="15" t="s">
        <v>55</v>
      </c>
      <c r="AG108" s="15"/>
      <c r="AH108" s="14" t="str">
        <f>VLOOKUP(B108,[1]Sheet1!$A$2:$F$294,6,FALSE)</f>
        <v>无</v>
      </c>
      <c r="AI108" s="14">
        <f>VLOOKUP(B108,[1]Sheet1!$A$2:$F$294,4,FALSE)</f>
        <v>0</v>
      </c>
      <c r="AJ108" s="14" t="str">
        <f>VLOOKUP(B108,[1]Sheet1!$A$2:$F$294,5,FALSE)</f>
        <v>无</v>
      </c>
    </row>
    <row r="109" s="2" customFormat="1" ht="14.25" spans="1:36">
      <c r="A109" s="11">
        <v>108</v>
      </c>
      <c r="B109" s="12">
        <v>21450150633</v>
      </c>
      <c r="C109" s="13" t="s">
        <v>575</v>
      </c>
      <c r="D109" s="14" t="s">
        <v>423</v>
      </c>
      <c r="E109" s="41" t="s">
        <v>576</v>
      </c>
      <c r="F109" s="14">
        <v>15387390521</v>
      </c>
      <c r="G109" s="15">
        <v>13973936782</v>
      </c>
      <c r="H109" s="15">
        <v>15367659076</v>
      </c>
      <c r="I109" s="14" t="s">
        <v>36</v>
      </c>
      <c r="J109" s="15">
        <v>2022080001</v>
      </c>
      <c r="K109" s="16" t="s">
        <v>425</v>
      </c>
      <c r="L109" s="14" t="s">
        <v>38</v>
      </c>
      <c r="M109" s="14" t="s">
        <v>39</v>
      </c>
      <c r="N109" s="14" t="s">
        <v>553</v>
      </c>
      <c r="O109" s="15">
        <v>2021</v>
      </c>
      <c r="P109" s="15" t="s">
        <v>487</v>
      </c>
      <c r="Q109" s="15" t="s">
        <v>577</v>
      </c>
      <c r="R109" s="15" t="s">
        <v>63</v>
      </c>
      <c r="S109" s="15" t="s">
        <v>578</v>
      </c>
      <c r="T109" s="15">
        <v>422700</v>
      </c>
      <c r="U109" s="15" t="s">
        <v>45</v>
      </c>
      <c r="V109" s="15" t="s">
        <v>36</v>
      </c>
      <c r="W109" s="15" t="s">
        <v>487</v>
      </c>
      <c r="X109" s="15" t="s">
        <v>74</v>
      </c>
      <c r="Y109" s="15" t="s">
        <v>437</v>
      </c>
      <c r="Z109" s="15" t="s">
        <v>49</v>
      </c>
      <c r="AA109" s="15" t="s">
        <v>50</v>
      </c>
      <c r="AB109" s="15" t="s">
        <v>67</v>
      </c>
      <c r="AC109" s="15" t="s">
        <v>52</v>
      </c>
      <c r="AD109" s="15" t="s">
        <v>53</v>
      </c>
      <c r="AE109" s="15" t="s">
        <v>54</v>
      </c>
      <c r="AF109" s="15" t="s">
        <v>55</v>
      </c>
      <c r="AG109" s="15"/>
      <c r="AH109" s="14" t="str">
        <f>VLOOKUP(B109,[1]Sheet1!$A$2:$F$294,6,FALSE)</f>
        <v>无</v>
      </c>
      <c r="AI109" s="14">
        <f>VLOOKUP(B109,[1]Sheet1!$A$2:$F$294,4,FALSE)</f>
        <v>0</v>
      </c>
      <c r="AJ109" s="14" t="str">
        <f>VLOOKUP(B109,[1]Sheet1!$A$2:$F$294,5,FALSE)</f>
        <v>无</v>
      </c>
    </row>
    <row r="110" s="2" customFormat="1" ht="14.25" spans="1:36">
      <c r="A110" s="11">
        <v>109</v>
      </c>
      <c r="B110" s="12">
        <v>21450150705</v>
      </c>
      <c r="C110" s="13" t="s">
        <v>579</v>
      </c>
      <c r="D110" s="14" t="s">
        <v>423</v>
      </c>
      <c r="E110" s="41" t="s">
        <v>580</v>
      </c>
      <c r="F110" s="14">
        <v>17261411005</v>
      </c>
      <c r="G110" s="15">
        <v>13574482121</v>
      </c>
      <c r="H110" s="15">
        <v>17769442729</v>
      </c>
      <c r="I110" s="14" t="s">
        <v>36</v>
      </c>
      <c r="J110" s="15">
        <v>2022080001</v>
      </c>
      <c r="K110" s="16" t="s">
        <v>425</v>
      </c>
      <c r="L110" s="14" t="s">
        <v>38</v>
      </c>
      <c r="M110" s="14" t="s">
        <v>39</v>
      </c>
      <c r="N110" s="14" t="s">
        <v>581</v>
      </c>
      <c r="O110" s="15">
        <v>2021</v>
      </c>
      <c r="P110" s="15" t="s">
        <v>434</v>
      </c>
      <c r="Q110" s="15" t="s">
        <v>440</v>
      </c>
      <c r="R110" s="15" t="s">
        <v>63</v>
      </c>
      <c r="S110" s="15" t="s">
        <v>582</v>
      </c>
      <c r="T110" s="15">
        <v>427205</v>
      </c>
      <c r="U110" s="15" t="s">
        <v>45</v>
      </c>
      <c r="V110" s="15" t="s">
        <v>36</v>
      </c>
      <c r="W110" s="15" t="s">
        <v>434</v>
      </c>
      <c r="X110" s="15" t="s">
        <v>47</v>
      </c>
      <c r="Y110" s="15" t="s">
        <v>437</v>
      </c>
      <c r="Z110" s="15" t="s">
        <v>49</v>
      </c>
      <c r="AA110" s="15" t="s">
        <v>50</v>
      </c>
      <c r="AB110" s="15" t="s">
        <v>67</v>
      </c>
      <c r="AC110" s="15" t="s">
        <v>52</v>
      </c>
      <c r="AD110" s="15" t="s">
        <v>53</v>
      </c>
      <c r="AE110" s="15" t="s">
        <v>54</v>
      </c>
      <c r="AF110" s="15" t="s">
        <v>55</v>
      </c>
      <c r="AG110" s="15"/>
      <c r="AH110" s="14" t="str">
        <f>VLOOKUP(B110,[1]Sheet1!$A$2:$F$294,6,FALSE)</f>
        <v>困难</v>
      </c>
      <c r="AI110" s="14">
        <f>VLOOKUP(B110,[1]Sheet1!$A$2:$F$294,4,FALSE)</f>
        <v>0</v>
      </c>
      <c r="AJ110" s="14" t="str">
        <f>VLOOKUP(B110,[1]Sheet1!$A$2:$F$294,5,FALSE)</f>
        <v>无</v>
      </c>
    </row>
    <row r="111" s="2" customFormat="1" ht="14.25" spans="1:36">
      <c r="A111" s="11">
        <v>110</v>
      </c>
      <c r="B111" s="12">
        <v>21450150712</v>
      </c>
      <c r="C111" s="13" t="s">
        <v>583</v>
      </c>
      <c r="D111" s="14" t="s">
        <v>423</v>
      </c>
      <c r="E111" s="41" t="s">
        <v>584</v>
      </c>
      <c r="F111" s="14">
        <v>13371605297</v>
      </c>
      <c r="G111" s="15">
        <v>13121624586</v>
      </c>
      <c r="H111" s="15">
        <v>18513072489</v>
      </c>
      <c r="I111" s="14" t="s">
        <v>58</v>
      </c>
      <c r="J111" s="15">
        <v>2022080001</v>
      </c>
      <c r="K111" s="16" t="s">
        <v>425</v>
      </c>
      <c r="L111" s="14" t="s">
        <v>59</v>
      </c>
      <c r="M111" s="14" t="s">
        <v>206</v>
      </c>
      <c r="N111" s="14" t="s">
        <v>566</v>
      </c>
      <c r="O111" s="15">
        <v>2021</v>
      </c>
      <c r="P111" s="15" t="s">
        <v>434</v>
      </c>
      <c r="Q111" s="15" t="s">
        <v>473</v>
      </c>
      <c r="R111" s="15" t="s">
        <v>63</v>
      </c>
      <c r="S111" s="15" t="s">
        <v>585</v>
      </c>
      <c r="T111" s="15">
        <v>445023</v>
      </c>
      <c r="U111" s="15" t="s">
        <v>243</v>
      </c>
      <c r="V111" s="15" t="s">
        <v>58</v>
      </c>
      <c r="W111" s="15" t="s">
        <v>434</v>
      </c>
      <c r="X111" s="15" t="s">
        <v>47</v>
      </c>
      <c r="Y111" s="15" t="s">
        <v>437</v>
      </c>
      <c r="Z111" s="15" t="s">
        <v>49</v>
      </c>
      <c r="AA111" s="15" t="s">
        <v>50</v>
      </c>
      <c r="AB111" s="15" t="s">
        <v>67</v>
      </c>
      <c r="AC111" s="15" t="s">
        <v>52</v>
      </c>
      <c r="AD111" s="15" t="s">
        <v>53</v>
      </c>
      <c r="AE111" s="15" t="s">
        <v>586</v>
      </c>
      <c r="AF111" s="15" t="s">
        <v>55</v>
      </c>
      <c r="AG111" s="15"/>
      <c r="AH111" s="14" t="str">
        <f>VLOOKUP(B111,[1]Sheet1!$A$2:$F$294,6,FALSE)</f>
        <v>无</v>
      </c>
      <c r="AI111" s="14">
        <f>VLOOKUP(B111,[1]Sheet1!$A$2:$F$294,4,FALSE)</f>
        <v>0</v>
      </c>
      <c r="AJ111" s="14" t="str">
        <f>VLOOKUP(B111,[1]Sheet1!$A$2:$F$294,5,FALSE)</f>
        <v>无</v>
      </c>
    </row>
    <row r="112" s="2" customFormat="1" ht="14.25" spans="1:36">
      <c r="A112" s="11">
        <v>111</v>
      </c>
      <c r="B112" s="12">
        <v>21450150721</v>
      </c>
      <c r="C112" s="13" t="s">
        <v>587</v>
      </c>
      <c r="D112" s="14" t="s">
        <v>423</v>
      </c>
      <c r="E112" s="41" t="s">
        <v>588</v>
      </c>
      <c r="F112" s="14">
        <v>17599552852</v>
      </c>
      <c r="G112" s="15">
        <v>15909070613</v>
      </c>
      <c r="H112" s="15">
        <v>18699774577</v>
      </c>
      <c r="I112" s="14" t="s">
        <v>36</v>
      </c>
      <c r="J112" s="15">
        <v>2022080001</v>
      </c>
      <c r="K112" s="16" t="s">
        <v>425</v>
      </c>
      <c r="L112" s="14" t="s">
        <v>38</v>
      </c>
      <c r="M112" s="14" t="s">
        <v>39</v>
      </c>
      <c r="N112" s="14" t="s">
        <v>581</v>
      </c>
      <c r="O112" s="15">
        <v>2021</v>
      </c>
      <c r="P112" s="15" t="s">
        <v>427</v>
      </c>
      <c r="Q112" s="15" t="s">
        <v>589</v>
      </c>
      <c r="R112" s="15" t="s">
        <v>63</v>
      </c>
      <c r="S112" s="15" t="s">
        <v>590</v>
      </c>
      <c r="T112" s="15">
        <v>842000</v>
      </c>
      <c r="U112" s="15" t="s">
        <v>430</v>
      </c>
      <c r="V112" s="15" t="s">
        <v>36</v>
      </c>
      <c r="W112" s="15" t="s">
        <v>427</v>
      </c>
      <c r="X112" s="15" t="s">
        <v>74</v>
      </c>
      <c r="Y112" s="15" t="s">
        <v>442</v>
      </c>
      <c r="Z112" s="15" t="s">
        <v>75</v>
      </c>
      <c r="AA112" s="15" t="s">
        <v>50</v>
      </c>
      <c r="AB112" s="15" t="s">
        <v>67</v>
      </c>
      <c r="AC112" s="15" t="s">
        <v>52</v>
      </c>
      <c r="AD112" s="15" t="s">
        <v>53</v>
      </c>
      <c r="AE112" s="15" t="s">
        <v>54</v>
      </c>
      <c r="AF112" s="15" t="s">
        <v>55</v>
      </c>
      <c r="AG112" s="15"/>
      <c r="AH112" s="14" t="str">
        <f>VLOOKUP(B112,[1]Sheet1!$A$2:$F$294,6,FALSE)</f>
        <v>无</v>
      </c>
      <c r="AI112" s="14">
        <f>VLOOKUP(B112,[1]Sheet1!$A$2:$F$294,4,FALSE)</f>
        <v>1</v>
      </c>
      <c r="AJ112" s="14" t="str">
        <f>VLOOKUP(B112,[1]Sheet1!$A$2:$F$294,5,FALSE)</f>
        <v>算法设计与分析</v>
      </c>
    </row>
    <row r="113" s="2" customFormat="1" ht="14.25" spans="1:36">
      <c r="A113" s="11">
        <v>112</v>
      </c>
      <c r="B113" s="12">
        <v>21450150808</v>
      </c>
      <c r="C113" s="13" t="s">
        <v>591</v>
      </c>
      <c r="D113" s="14" t="s">
        <v>423</v>
      </c>
      <c r="E113" s="41" t="s">
        <v>592</v>
      </c>
      <c r="F113" s="14">
        <v>1357442910</v>
      </c>
      <c r="G113" s="15">
        <v>18374296556</v>
      </c>
      <c r="H113" s="15">
        <v>18797519407</v>
      </c>
      <c r="I113" s="14" t="s">
        <v>36</v>
      </c>
      <c r="J113" s="15">
        <v>2022080001</v>
      </c>
      <c r="K113" s="16" t="s">
        <v>425</v>
      </c>
      <c r="L113" s="14" t="s">
        <v>38</v>
      </c>
      <c r="M113" s="14" t="s">
        <v>39</v>
      </c>
      <c r="N113" s="14" t="s">
        <v>581</v>
      </c>
      <c r="O113" s="15">
        <v>2021</v>
      </c>
      <c r="P113" s="15" t="s">
        <v>434</v>
      </c>
      <c r="Q113" s="15" t="s">
        <v>440</v>
      </c>
      <c r="R113" s="15" t="s">
        <v>63</v>
      </c>
      <c r="S113" s="15" t="s">
        <v>593</v>
      </c>
      <c r="T113" s="15">
        <v>427000</v>
      </c>
      <c r="U113" s="15" t="s">
        <v>45</v>
      </c>
      <c r="V113" s="15" t="s">
        <v>36</v>
      </c>
      <c r="W113" s="15" t="s">
        <v>434</v>
      </c>
      <c r="X113" s="15" t="s">
        <v>74</v>
      </c>
      <c r="Y113" s="15" t="s">
        <v>478</v>
      </c>
      <c r="Z113" s="15" t="s">
        <v>75</v>
      </c>
      <c r="AA113" s="15" t="s">
        <v>50</v>
      </c>
      <c r="AB113" s="15" t="s">
        <v>67</v>
      </c>
      <c r="AC113" s="15" t="s">
        <v>52</v>
      </c>
      <c r="AD113" s="15" t="s">
        <v>53</v>
      </c>
      <c r="AE113" s="15" t="s">
        <v>54</v>
      </c>
      <c r="AF113" s="15" t="s">
        <v>55</v>
      </c>
      <c r="AG113" s="15"/>
      <c r="AH113" s="14" t="str">
        <f>VLOOKUP(B113,[1]Sheet1!$A$2:$F$294,6,FALSE)</f>
        <v>无</v>
      </c>
      <c r="AI113" s="14">
        <f>VLOOKUP(B113,[1]Sheet1!$A$2:$F$294,4,FALSE)</f>
        <v>0</v>
      </c>
      <c r="AJ113" s="14" t="str">
        <f>VLOOKUP(B113,[1]Sheet1!$A$2:$F$294,5,FALSE)</f>
        <v>无</v>
      </c>
    </row>
    <row r="114" s="2" customFormat="1" ht="14.25" spans="1:36">
      <c r="A114" s="11">
        <v>113</v>
      </c>
      <c r="B114" s="12">
        <v>21450150813</v>
      </c>
      <c r="C114" s="13" t="s">
        <v>594</v>
      </c>
      <c r="D114" s="14" t="s">
        <v>423</v>
      </c>
      <c r="E114" s="15" t="s">
        <v>595</v>
      </c>
      <c r="F114" s="14">
        <v>18797469174</v>
      </c>
      <c r="G114" s="15">
        <v>15874376009</v>
      </c>
      <c r="H114" s="15">
        <v>13617436539</v>
      </c>
      <c r="I114" s="14" t="s">
        <v>36</v>
      </c>
      <c r="J114" s="15">
        <v>2022080001</v>
      </c>
      <c r="K114" s="16" t="s">
        <v>425</v>
      </c>
      <c r="L114" s="14" t="s">
        <v>38</v>
      </c>
      <c r="M114" s="14" t="s">
        <v>39</v>
      </c>
      <c r="N114" s="14" t="s">
        <v>581</v>
      </c>
      <c r="O114" s="15">
        <v>2021</v>
      </c>
      <c r="P114" s="15" t="s">
        <v>487</v>
      </c>
      <c r="Q114" s="15" t="s">
        <v>596</v>
      </c>
      <c r="R114" s="15" t="s">
        <v>63</v>
      </c>
      <c r="S114" s="15" t="s">
        <v>597</v>
      </c>
      <c r="T114" s="15">
        <v>416200</v>
      </c>
      <c r="U114" s="15" t="s">
        <v>45</v>
      </c>
      <c r="V114" s="15" t="s">
        <v>36</v>
      </c>
      <c r="W114" s="15" t="s">
        <v>487</v>
      </c>
      <c r="X114" s="15" t="s">
        <v>74</v>
      </c>
      <c r="Y114" s="15" t="s">
        <v>47</v>
      </c>
      <c r="Z114" s="15" t="s">
        <v>49</v>
      </c>
      <c r="AA114" s="15" t="s">
        <v>50</v>
      </c>
      <c r="AB114" s="15" t="s">
        <v>67</v>
      </c>
      <c r="AC114" s="15" t="s">
        <v>52</v>
      </c>
      <c r="AD114" s="15" t="s">
        <v>53</v>
      </c>
      <c r="AE114" s="15" t="s">
        <v>54</v>
      </c>
      <c r="AF114" s="15" t="s">
        <v>55</v>
      </c>
      <c r="AG114" s="15"/>
      <c r="AH114" s="14" t="str">
        <f>VLOOKUP(B114,[1]Sheet1!$A$2:$F$294,6,FALSE)</f>
        <v>无</v>
      </c>
      <c r="AI114" s="14">
        <f>VLOOKUP(B114,[1]Sheet1!$A$2:$F$294,4,FALSE)</f>
        <v>0</v>
      </c>
      <c r="AJ114" s="14" t="str">
        <f>VLOOKUP(B114,[1]Sheet1!$A$2:$F$294,5,FALSE)</f>
        <v>无</v>
      </c>
    </row>
    <row r="115" s="2" customFormat="1" ht="14.25" spans="1:36">
      <c r="A115" s="11">
        <v>114</v>
      </c>
      <c r="B115" s="12">
        <v>21450150817</v>
      </c>
      <c r="C115" s="13" t="s">
        <v>598</v>
      </c>
      <c r="D115" s="14" t="s">
        <v>423</v>
      </c>
      <c r="E115" s="41" t="s">
        <v>599</v>
      </c>
      <c r="F115" s="14">
        <v>18574585307</v>
      </c>
      <c r="G115" s="15">
        <v>18627488613</v>
      </c>
      <c r="H115" s="15">
        <v>15907452869</v>
      </c>
      <c r="I115" s="14" t="s">
        <v>36</v>
      </c>
      <c r="J115" s="15">
        <v>2022080001</v>
      </c>
      <c r="K115" s="16" t="s">
        <v>425</v>
      </c>
      <c r="L115" s="14" t="s">
        <v>38</v>
      </c>
      <c r="M115" s="14" t="s">
        <v>39</v>
      </c>
      <c r="N115" s="14" t="s">
        <v>600</v>
      </c>
      <c r="O115" s="15">
        <v>2021</v>
      </c>
      <c r="P115" s="15" t="s">
        <v>487</v>
      </c>
      <c r="Q115" s="15" t="s">
        <v>289</v>
      </c>
      <c r="R115" s="15" t="s">
        <v>63</v>
      </c>
      <c r="S115" s="15" t="s">
        <v>601</v>
      </c>
      <c r="T115" s="15">
        <v>419400</v>
      </c>
      <c r="U115" s="15" t="s">
        <v>45</v>
      </c>
      <c r="V115" s="15" t="s">
        <v>36</v>
      </c>
      <c r="W115" s="15" t="s">
        <v>487</v>
      </c>
      <c r="X115" s="15" t="s">
        <v>74</v>
      </c>
      <c r="Y115" s="15" t="s">
        <v>478</v>
      </c>
      <c r="Z115" s="15" t="s">
        <v>49</v>
      </c>
      <c r="AA115" s="15" t="s">
        <v>50</v>
      </c>
      <c r="AB115" s="15" t="s">
        <v>67</v>
      </c>
      <c r="AC115" s="15" t="s">
        <v>52</v>
      </c>
      <c r="AD115" s="15" t="s">
        <v>53</v>
      </c>
      <c r="AE115" s="15" t="s">
        <v>54</v>
      </c>
      <c r="AF115" s="15" t="s">
        <v>55</v>
      </c>
      <c r="AG115" s="15"/>
      <c r="AH115" s="14" t="str">
        <f>VLOOKUP(B115,[1]Sheet1!$A$2:$F$294,6,FALSE)</f>
        <v>无</v>
      </c>
      <c r="AI115" s="14">
        <f>VLOOKUP(B115,[1]Sheet1!$A$2:$F$294,4,FALSE)</f>
        <v>0</v>
      </c>
      <c r="AJ115" s="14" t="str">
        <f>VLOOKUP(B115,[1]Sheet1!$A$2:$F$294,5,FALSE)</f>
        <v>无</v>
      </c>
    </row>
    <row r="116" s="2" customFormat="1" ht="14.25" spans="1:36">
      <c r="A116" s="11">
        <v>115</v>
      </c>
      <c r="B116" s="12">
        <v>21450150829</v>
      </c>
      <c r="C116" s="13" t="s">
        <v>602</v>
      </c>
      <c r="D116" s="14" t="s">
        <v>423</v>
      </c>
      <c r="E116" s="41" t="s">
        <v>603</v>
      </c>
      <c r="F116" s="14">
        <v>15685542503</v>
      </c>
      <c r="G116" s="15">
        <v>13096831602</v>
      </c>
      <c r="H116" s="15">
        <v>15685542906</v>
      </c>
      <c r="I116" s="14" t="s">
        <v>58</v>
      </c>
      <c r="J116" s="15">
        <v>2022080001</v>
      </c>
      <c r="K116" s="16" t="s">
        <v>425</v>
      </c>
      <c r="L116" s="14" t="s">
        <v>59</v>
      </c>
      <c r="M116" s="14" t="s">
        <v>206</v>
      </c>
      <c r="N116" s="14" t="s">
        <v>566</v>
      </c>
      <c r="O116" s="15">
        <v>2021</v>
      </c>
      <c r="P116" s="15" t="s">
        <v>542</v>
      </c>
      <c r="Q116" s="15" t="s">
        <v>604</v>
      </c>
      <c r="R116" s="15" t="s">
        <v>63</v>
      </c>
      <c r="S116" s="15" t="s">
        <v>605</v>
      </c>
      <c r="T116" s="15">
        <v>557300</v>
      </c>
      <c r="U116" s="15" t="s">
        <v>518</v>
      </c>
      <c r="V116" s="15" t="s">
        <v>58</v>
      </c>
      <c r="W116" s="15" t="s">
        <v>542</v>
      </c>
      <c r="X116" s="15" t="s">
        <v>47</v>
      </c>
      <c r="Y116" s="15" t="s">
        <v>431</v>
      </c>
      <c r="Z116" s="15" t="s">
        <v>49</v>
      </c>
      <c r="AA116" s="15" t="s">
        <v>50</v>
      </c>
      <c r="AB116" s="15" t="s">
        <v>67</v>
      </c>
      <c r="AC116" s="15" t="s">
        <v>52</v>
      </c>
      <c r="AD116" s="15" t="s">
        <v>53</v>
      </c>
      <c r="AE116" s="15" t="s">
        <v>54</v>
      </c>
      <c r="AF116" s="15" t="s">
        <v>55</v>
      </c>
      <c r="AG116" s="15"/>
      <c r="AH116" s="14" t="str">
        <f>VLOOKUP(B116,[1]Sheet1!$A$2:$F$294,6,FALSE)</f>
        <v>特别困难</v>
      </c>
      <c r="AI116" s="14">
        <f>VLOOKUP(B116,[1]Sheet1!$A$2:$F$294,4,FALSE)</f>
        <v>0</v>
      </c>
      <c r="AJ116" s="14" t="str">
        <f>VLOOKUP(B116,[1]Sheet1!$A$2:$F$294,5,FALSE)</f>
        <v>无</v>
      </c>
    </row>
    <row r="117" s="2" customFormat="1" ht="14.25" spans="1:36">
      <c r="A117" s="11">
        <v>116</v>
      </c>
      <c r="B117" s="12">
        <v>22408000301</v>
      </c>
      <c r="C117" s="13" t="s">
        <v>606</v>
      </c>
      <c r="D117" s="14" t="s">
        <v>607</v>
      </c>
      <c r="E117" s="41" t="s">
        <v>608</v>
      </c>
      <c r="F117" s="14">
        <v>15581335212</v>
      </c>
      <c r="G117" s="15">
        <v>13875462100</v>
      </c>
      <c r="H117" s="15">
        <v>13174289803</v>
      </c>
      <c r="I117" s="14" t="s">
        <v>58</v>
      </c>
      <c r="J117" s="15">
        <v>2022080003</v>
      </c>
      <c r="K117" s="16" t="s">
        <v>37</v>
      </c>
      <c r="L117" s="14" t="s">
        <v>59</v>
      </c>
      <c r="M117" s="14" t="s">
        <v>60</v>
      </c>
      <c r="N117" s="14" t="s">
        <v>609</v>
      </c>
      <c r="O117" s="15">
        <v>2022</v>
      </c>
      <c r="P117" s="15" t="s">
        <v>41</v>
      </c>
      <c r="Q117" s="15" t="s">
        <v>183</v>
      </c>
      <c r="R117" s="15" t="s">
        <v>43</v>
      </c>
      <c r="S117" s="15" t="s">
        <v>610</v>
      </c>
      <c r="T117" s="15">
        <v>417600</v>
      </c>
      <c r="U117" s="15" t="s">
        <v>45</v>
      </c>
      <c r="V117" s="15" t="s">
        <v>58</v>
      </c>
      <c r="W117" s="15" t="s">
        <v>46</v>
      </c>
      <c r="X117" s="15" t="s">
        <v>74</v>
      </c>
      <c r="Y117" s="15" t="s">
        <v>611</v>
      </c>
      <c r="Z117" s="15" t="s">
        <v>75</v>
      </c>
      <c r="AA117" s="15" t="s">
        <v>50</v>
      </c>
      <c r="AB117" s="15" t="s">
        <v>612</v>
      </c>
      <c r="AC117" s="15" t="s">
        <v>101</v>
      </c>
      <c r="AD117" s="15" t="s">
        <v>53</v>
      </c>
      <c r="AE117" s="15" t="s">
        <v>54</v>
      </c>
      <c r="AF117" s="15" t="s">
        <v>55</v>
      </c>
      <c r="AG117" s="15"/>
      <c r="AH117" s="14" t="str">
        <f>VLOOKUP(B117,[1]Sheet1!$A$2:$F$294,6,FALSE)</f>
        <v>无</v>
      </c>
      <c r="AI117" s="14">
        <f>VLOOKUP(B117,[1]Sheet1!$A$2:$F$294,4,FALSE)</f>
        <v>0</v>
      </c>
      <c r="AJ117" s="14" t="str">
        <f>VLOOKUP(B117,[1]Sheet1!$A$2:$F$294,5,FALSE)</f>
        <v>无</v>
      </c>
    </row>
    <row r="118" s="2" customFormat="1" ht="14.25" spans="1:36">
      <c r="A118" s="11">
        <v>117</v>
      </c>
      <c r="B118" s="12">
        <v>22408000304</v>
      </c>
      <c r="C118" s="13" t="s">
        <v>613</v>
      </c>
      <c r="D118" s="14" t="s">
        <v>607</v>
      </c>
      <c r="E118" s="41" t="s">
        <v>614</v>
      </c>
      <c r="F118" s="14">
        <v>13762633906</v>
      </c>
      <c r="G118" s="15">
        <v>15115752988</v>
      </c>
      <c r="H118" s="15">
        <v>15115759122</v>
      </c>
      <c r="I118" s="14" t="s">
        <v>58</v>
      </c>
      <c r="J118" s="15">
        <v>2022080003</v>
      </c>
      <c r="K118" s="16" t="s">
        <v>37</v>
      </c>
      <c r="L118" s="14" t="s">
        <v>59</v>
      </c>
      <c r="M118" s="14" t="s">
        <v>60</v>
      </c>
      <c r="N118" s="14" t="s">
        <v>609</v>
      </c>
      <c r="O118" s="15">
        <v>2022</v>
      </c>
      <c r="P118" s="15" t="s">
        <v>41</v>
      </c>
      <c r="Q118" s="15" t="s">
        <v>158</v>
      </c>
      <c r="R118" s="15" t="s">
        <v>63</v>
      </c>
      <c r="S118" s="15" t="s">
        <v>615</v>
      </c>
      <c r="T118" s="15">
        <v>415908</v>
      </c>
      <c r="U118" s="15" t="s">
        <v>45</v>
      </c>
      <c r="V118" s="15" t="s">
        <v>58</v>
      </c>
      <c r="W118" s="15" t="s">
        <v>46</v>
      </c>
      <c r="X118" s="15" t="s">
        <v>74</v>
      </c>
      <c r="Y118" s="15" t="s">
        <v>48</v>
      </c>
      <c r="Z118" s="15" t="s">
        <v>49</v>
      </c>
      <c r="AA118" s="15" t="s">
        <v>50</v>
      </c>
      <c r="AB118" s="15" t="s">
        <v>67</v>
      </c>
      <c r="AC118" s="15" t="s">
        <v>52</v>
      </c>
      <c r="AD118" s="15" t="s">
        <v>53</v>
      </c>
      <c r="AE118" s="15" t="s">
        <v>54</v>
      </c>
      <c r="AF118" s="15" t="s">
        <v>55</v>
      </c>
      <c r="AG118" s="15" t="s">
        <v>305</v>
      </c>
      <c r="AH118" s="14" t="str">
        <f>VLOOKUP(B118,[1]Sheet1!$A$2:$F$294,6,FALSE)</f>
        <v>无</v>
      </c>
      <c r="AI118" s="14">
        <f>VLOOKUP(B118,[1]Sheet1!$A$2:$F$294,4,FALSE)</f>
        <v>0</v>
      </c>
      <c r="AJ118" s="14" t="str">
        <f>VLOOKUP(B118,[1]Sheet1!$A$2:$F$294,5,FALSE)</f>
        <v>无</v>
      </c>
    </row>
    <row r="119" s="2" customFormat="1" ht="14.25" spans="1:36">
      <c r="A119" s="11">
        <v>118</v>
      </c>
      <c r="B119" s="12">
        <v>22408000308</v>
      </c>
      <c r="C119" s="13" t="s">
        <v>616</v>
      </c>
      <c r="D119" s="14" t="s">
        <v>607</v>
      </c>
      <c r="E119" s="41" t="s">
        <v>617</v>
      </c>
      <c r="F119" s="14">
        <v>15529338893</v>
      </c>
      <c r="G119" s="15" t="s">
        <v>239</v>
      </c>
      <c r="H119" s="15">
        <v>13038582431</v>
      </c>
      <c r="I119" s="14" t="s">
        <v>58</v>
      </c>
      <c r="J119" s="15">
        <v>2022080003</v>
      </c>
      <c r="K119" s="16" t="s">
        <v>37</v>
      </c>
      <c r="L119" s="14" t="s">
        <v>59</v>
      </c>
      <c r="M119" s="14" t="s">
        <v>60</v>
      </c>
      <c r="N119" s="14" t="s">
        <v>61</v>
      </c>
      <c r="O119" s="15">
        <v>2022</v>
      </c>
      <c r="P119" s="15" t="s">
        <v>41</v>
      </c>
      <c r="Q119" s="15" t="s">
        <v>618</v>
      </c>
      <c r="R119" s="15" t="s">
        <v>63</v>
      </c>
      <c r="S119" s="15" t="s">
        <v>619</v>
      </c>
      <c r="T119" s="15">
        <v>411228</v>
      </c>
      <c r="U119" s="15" t="s">
        <v>45</v>
      </c>
      <c r="V119" s="15" t="s">
        <v>58</v>
      </c>
      <c r="W119" s="15" t="s">
        <v>46</v>
      </c>
      <c r="X119" s="15" t="s">
        <v>74</v>
      </c>
      <c r="Y119" s="15" t="s">
        <v>47</v>
      </c>
      <c r="Z119" s="15" t="s">
        <v>49</v>
      </c>
      <c r="AA119" s="15" t="s">
        <v>50</v>
      </c>
      <c r="AB119" s="15" t="s">
        <v>67</v>
      </c>
      <c r="AC119" s="15" t="s">
        <v>52</v>
      </c>
      <c r="AD119" s="15" t="s">
        <v>53</v>
      </c>
      <c r="AE119" s="15" t="s">
        <v>54</v>
      </c>
      <c r="AF119" s="15" t="s">
        <v>55</v>
      </c>
      <c r="AG119" s="15"/>
      <c r="AH119" s="14" t="str">
        <f>VLOOKUP(B119,[1]Sheet1!$A$2:$F$294,6,FALSE)</f>
        <v>无</v>
      </c>
      <c r="AI119" s="14">
        <f>VLOOKUP(B119,[1]Sheet1!$A$2:$F$294,4,FALSE)</f>
        <v>0</v>
      </c>
      <c r="AJ119" s="14" t="str">
        <f>VLOOKUP(B119,[1]Sheet1!$A$2:$F$294,5,FALSE)</f>
        <v>无</v>
      </c>
    </row>
    <row r="120" s="2" customFormat="1" ht="14.25" spans="1:36">
      <c r="A120" s="11">
        <v>119</v>
      </c>
      <c r="B120" s="12">
        <v>22408000313</v>
      </c>
      <c r="C120" s="13" t="s">
        <v>620</v>
      </c>
      <c r="D120" s="14" t="s">
        <v>607</v>
      </c>
      <c r="E120" s="41" t="s">
        <v>621</v>
      </c>
      <c r="F120" s="14">
        <v>18821903478</v>
      </c>
      <c r="G120" s="15">
        <v>18873093468</v>
      </c>
      <c r="H120" s="15">
        <v>17752830202</v>
      </c>
      <c r="I120" s="14" t="s">
        <v>36</v>
      </c>
      <c r="J120" s="15">
        <v>2022080003</v>
      </c>
      <c r="K120" s="16" t="s">
        <v>37</v>
      </c>
      <c r="L120" s="14" t="s">
        <v>38</v>
      </c>
      <c r="M120" s="14" t="s">
        <v>39</v>
      </c>
      <c r="N120" s="14" t="s">
        <v>40</v>
      </c>
      <c r="O120" s="15">
        <v>2022</v>
      </c>
      <c r="P120" s="15" t="s">
        <v>41</v>
      </c>
      <c r="Q120" s="15" t="s">
        <v>255</v>
      </c>
      <c r="R120" s="15" t="s">
        <v>43</v>
      </c>
      <c r="S120" s="15" t="s">
        <v>622</v>
      </c>
      <c r="T120" s="15">
        <v>414000</v>
      </c>
      <c r="U120" s="15" t="s">
        <v>45</v>
      </c>
      <c r="V120" s="15" t="s">
        <v>36</v>
      </c>
      <c r="W120" s="15" t="s">
        <v>46</v>
      </c>
      <c r="X120" s="15" t="s">
        <v>74</v>
      </c>
      <c r="Y120" s="15" t="s">
        <v>88</v>
      </c>
      <c r="Z120" s="15" t="s">
        <v>49</v>
      </c>
      <c r="AA120" s="15" t="s">
        <v>50</v>
      </c>
      <c r="AB120" s="15" t="s">
        <v>67</v>
      </c>
      <c r="AC120" s="15" t="s">
        <v>52</v>
      </c>
      <c r="AD120" s="15" t="s">
        <v>53</v>
      </c>
      <c r="AE120" s="15" t="s">
        <v>54</v>
      </c>
      <c r="AF120" s="15" t="s">
        <v>55</v>
      </c>
      <c r="AG120" s="15"/>
      <c r="AH120" s="14" t="str">
        <f>VLOOKUP(B120,[1]Sheet1!$A$2:$F$294,6,FALSE)</f>
        <v>无</v>
      </c>
      <c r="AI120" s="14">
        <f>VLOOKUP(B120,[1]Sheet1!$A$2:$F$294,4,FALSE)</f>
        <v>0</v>
      </c>
      <c r="AJ120" s="14" t="str">
        <f>VLOOKUP(B120,[1]Sheet1!$A$2:$F$294,5,FALSE)</f>
        <v>无</v>
      </c>
    </row>
    <row r="121" s="2" customFormat="1" ht="14.25" spans="1:36">
      <c r="A121" s="11">
        <v>120</v>
      </c>
      <c r="B121" s="12">
        <v>22408000315</v>
      </c>
      <c r="C121" s="13" t="s">
        <v>623</v>
      </c>
      <c r="D121" s="14" t="s">
        <v>607</v>
      </c>
      <c r="E121" s="41" t="s">
        <v>624</v>
      </c>
      <c r="F121" s="14">
        <v>18711362141</v>
      </c>
      <c r="G121" s="15">
        <v>15205703283</v>
      </c>
      <c r="H121" s="15">
        <v>15886302298</v>
      </c>
      <c r="I121" s="14" t="s">
        <v>58</v>
      </c>
      <c r="J121" s="15">
        <v>2022080003</v>
      </c>
      <c r="K121" s="16" t="s">
        <v>37</v>
      </c>
      <c r="L121" s="14" t="s">
        <v>59</v>
      </c>
      <c r="M121" s="14" t="s">
        <v>60</v>
      </c>
      <c r="N121" s="14" t="s">
        <v>70</v>
      </c>
      <c r="O121" s="15">
        <v>2022</v>
      </c>
      <c r="P121" s="15" t="s">
        <v>41</v>
      </c>
      <c r="Q121" s="15" t="s">
        <v>625</v>
      </c>
      <c r="R121" s="15" t="s">
        <v>43</v>
      </c>
      <c r="S121" s="15" t="s">
        <v>626</v>
      </c>
      <c r="T121" s="15">
        <v>412417</v>
      </c>
      <c r="U121" s="15" t="s">
        <v>45</v>
      </c>
      <c r="V121" s="15" t="s">
        <v>58</v>
      </c>
      <c r="W121" s="15" t="s">
        <v>46</v>
      </c>
      <c r="X121" s="15" t="s">
        <v>74</v>
      </c>
      <c r="Y121" s="15" t="s">
        <v>88</v>
      </c>
      <c r="Z121" s="15" t="s">
        <v>49</v>
      </c>
      <c r="AA121" s="15" t="s">
        <v>50</v>
      </c>
      <c r="AB121" s="15" t="s">
        <v>67</v>
      </c>
      <c r="AC121" s="15" t="s">
        <v>101</v>
      </c>
      <c r="AD121" s="15" t="s">
        <v>53</v>
      </c>
      <c r="AE121" s="15" t="s">
        <v>54</v>
      </c>
      <c r="AF121" s="15" t="s">
        <v>55</v>
      </c>
      <c r="AG121" s="15"/>
      <c r="AH121" s="14" t="str">
        <f>VLOOKUP(B121,[1]Sheet1!$A$2:$F$294,6,FALSE)</f>
        <v>无</v>
      </c>
      <c r="AI121" s="14">
        <f>VLOOKUP(B121,[1]Sheet1!$A$2:$F$294,4,FALSE)</f>
        <v>0</v>
      </c>
      <c r="AJ121" s="14" t="str">
        <f>VLOOKUP(B121,[1]Sheet1!$A$2:$F$294,5,FALSE)</f>
        <v>无</v>
      </c>
    </row>
    <row r="122" s="2" customFormat="1" ht="14.25" spans="1:36">
      <c r="A122" s="11">
        <v>121</v>
      </c>
      <c r="B122" s="12">
        <v>22408000323</v>
      </c>
      <c r="C122" s="13" t="s">
        <v>627</v>
      </c>
      <c r="D122" s="14" t="s">
        <v>607</v>
      </c>
      <c r="E122" s="41" t="s">
        <v>628</v>
      </c>
      <c r="F122" s="14">
        <v>18873294223</v>
      </c>
      <c r="G122" s="15">
        <v>15919813621</v>
      </c>
      <c r="H122" s="15">
        <v>18867372343</v>
      </c>
      <c r="I122" s="14" t="s">
        <v>58</v>
      </c>
      <c r="J122" s="15">
        <v>2022080003</v>
      </c>
      <c r="K122" s="16" t="s">
        <v>37</v>
      </c>
      <c r="L122" s="14" t="s">
        <v>59</v>
      </c>
      <c r="M122" s="14" t="s">
        <v>60</v>
      </c>
      <c r="N122" s="14" t="s">
        <v>629</v>
      </c>
      <c r="O122" s="15">
        <v>2022</v>
      </c>
      <c r="P122" s="15" t="s">
        <v>41</v>
      </c>
      <c r="Q122" s="15" t="s">
        <v>367</v>
      </c>
      <c r="R122" s="15" t="s">
        <v>43</v>
      </c>
      <c r="S122" s="15" t="s">
        <v>630</v>
      </c>
      <c r="T122" s="15">
        <v>410000</v>
      </c>
      <c r="U122" s="15" t="s">
        <v>45</v>
      </c>
      <c r="V122" s="15" t="s">
        <v>58</v>
      </c>
      <c r="W122" s="15" t="s">
        <v>46</v>
      </c>
      <c r="X122" s="15" t="s">
        <v>74</v>
      </c>
      <c r="Y122" s="15" t="s">
        <v>88</v>
      </c>
      <c r="Z122" s="15" t="s">
        <v>49</v>
      </c>
      <c r="AA122" s="15" t="s">
        <v>100</v>
      </c>
      <c r="AB122" s="15" t="s">
        <v>67</v>
      </c>
      <c r="AC122" s="15" t="s">
        <v>52</v>
      </c>
      <c r="AD122" s="15" t="s">
        <v>53</v>
      </c>
      <c r="AE122" s="15" t="s">
        <v>54</v>
      </c>
      <c r="AF122" s="15" t="s">
        <v>55</v>
      </c>
      <c r="AG122" s="15"/>
      <c r="AH122" s="14" t="str">
        <f>VLOOKUP(B122,[1]Sheet1!$A$2:$F$294,6,FALSE)</f>
        <v>无</v>
      </c>
      <c r="AI122" s="14">
        <f>VLOOKUP(B122,[1]Sheet1!$A$2:$F$294,4,FALSE)</f>
        <v>0</v>
      </c>
      <c r="AJ122" s="14" t="str">
        <f>VLOOKUP(B122,[1]Sheet1!$A$2:$F$294,5,FALSE)</f>
        <v>无</v>
      </c>
    </row>
    <row r="123" s="2" customFormat="1" ht="14.25" spans="1:36">
      <c r="A123" s="11">
        <v>122</v>
      </c>
      <c r="B123" s="12">
        <v>22408000327</v>
      </c>
      <c r="C123" s="13" t="s">
        <v>631</v>
      </c>
      <c r="D123" s="14" t="s">
        <v>607</v>
      </c>
      <c r="E123" s="41" t="s">
        <v>632</v>
      </c>
      <c r="F123" s="14">
        <v>18073638146</v>
      </c>
      <c r="G123" s="15">
        <v>18973634168</v>
      </c>
      <c r="H123" s="15">
        <v>15307368485</v>
      </c>
      <c r="I123" s="14" t="s">
        <v>36</v>
      </c>
      <c r="J123" s="15">
        <v>2022080003</v>
      </c>
      <c r="K123" s="16" t="s">
        <v>37</v>
      </c>
      <c r="L123" s="14" t="s">
        <v>38</v>
      </c>
      <c r="M123" s="14" t="s">
        <v>39</v>
      </c>
      <c r="N123" s="14" t="s">
        <v>91</v>
      </c>
      <c r="O123" s="15">
        <v>2022</v>
      </c>
      <c r="P123" s="15" t="s">
        <v>41</v>
      </c>
      <c r="Q123" s="15" t="s">
        <v>158</v>
      </c>
      <c r="R123" s="15" t="s">
        <v>63</v>
      </c>
      <c r="S123" s="15" t="s">
        <v>633</v>
      </c>
      <c r="T123" s="15">
        <v>415300</v>
      </c>
      <c r="U123" s="15" t="s">
        <v>45</v>
      </c>
      <c r="V123" s="15" t="s">
        <v>36</v>
      </c>
      <c r="W123" s="15" t="s">
        <v>46</v>
      </c>
      <c r="X123" s="15" t="s">
        <v>47</v>
      </c>
      <c r="Y123" s="15" t="s">
        <v>48</v>
      </c>
      <c r="Z123" s="15" t="s">
        <v>75</v>
      </c>
      <c r="AA123" s="15" t="s">
        <v>50</v>
      </c>
      <c r="AB123" s="15" t="s">
        <v>67</v>
      </c>
      <c r="AC123" s="15" t="s">
        <v>52</v>
      </c>
      <c r="AD123" s="15" t="s">
        <v>53</v>
      </c>
      <c r="AE123" s="15" t="s">
        <v>54</v>
      </c>
      <c r="AF123" s="15" t="s">
        <v>55</v>
      </c>
      <c r="AG123" s="15"/>
      <c r="AH123" s="14" t="str">
        <f>VLOOKUP(B123,[1]Sheet1!$A$2:$F$294,6,FALSE)</f>
        <v>一般困难</v>
      </c>
      <c r="AI123" s="14">
        <f>VLOOKUP(B123,[1]Sheet1!$A$2:$F$294,4,FALSE)</f>
        <v>0</v>
      </c>
      <c r="AJ123" s="14" t="str">
        <f>VLOOKUP(B123,[1]Sheet1!$A$2:$F$294,5,FALSE)</f>
        <v>无</v>
      </c>
    </row>
    <row r="124" s="2" customFormat="1" ht="14.25" spans="1:36">
      <c r="A124" s="11">
        <v>123</v>
      </c>
      <c r="B124" s="12">
        <v>22408000334</v>
      </c>
      <c r="C124" s="13" t="s">
        <v>634</v>
      </c>
      <c r="D124" s="14" t="s">
        <v>607</v>
      </c>
      <c r="E124" s="41" t="s">
        <v>635</v>
      </c>
      <c r="F124" s="14">
        <v>16673831902</v>
      </c>
      <c r="G124" s="15">
        <v>15576389511</v>
      </c>
      <c r="H124" s="15">
        <v>18302647858</v>
      </c>
      <c r="I124" s="14" t="s">
        <v>58</v>
      </c>
      <c r="J124" s="15">
        <v>2022080003</v>
      </c>
      <c r="K124" s="16" t="s">
        <v>37</v>
      </c>
      <c r="L124" s="14" t="s">
        <v>59</v>
      </c>
      <c r="M124" s="14" t="s">
        <v>60</v>
      </c>
      <c r="N124" s="14" t="s">
        <v>636</v>
      </c>
      <c r="O124" s="15">
        <v>2022</v>
      </c>
      <c r="P124" s="15" t="s">
        <v>41</v>
      </c>
      <c r="Q124" s="15" t="s">
        <v>637</v>
      </c>
      <c r="R124" s="15" t="s">
        <v>63</v>
      </c>
      <c r="S124" s="15" t="s">
        <v>638</v>
      </c>
      <c r="T124" s="15">
        <v>417628</v>
      </c>
      <c r="U124" s="15" t="s">
        <v>45</v>
      </c>
      <c r="V124" s="15" t="s">
        <v>58</v>
      </c>
      <c r="W124" s="15" t="s">
        <v>46</v>
      </c>
      <c r="X124" s="15" t="s">
        <v>74</v>
      </c>
      <c r="Y124" s="15" t="s">
        <v>88</v>
      </c>
      <c r="Z124" s="15" t="s">
        <v>75</v>
      </c>
      <c r="AA124" s="15" t="s">
        <v>160</v>
      </c>
      <c r="AB124" s="15" t="s">
        <v>67</v>
      </c>
      <c r="AC124" s="15" t="s">
        <v>101</v>
      </c>
      <c r="AD124" s="15" t="s">
        <v>53</v>
      </c>
      <c r="AE124" s="15" t="s">
        <v>54</v>
      </c>
      <c r="AF124" s="15" t="s">
        <v>55</v>
      </c>
      <c r="AG124" s="15"/>
      <c r="AH124" s="14" t="str">
        <f>VLOOKUP(B124,[1]Sheet1!$A$2:$F$294,6,FALSE)</f>
        <v>无</v>
      </c>
      <c r="AI124" s="14">
        <f>VLOOKUP(B124,[1]Sheet1!$A$2:$F$294,4,FALSE)</f>
        <v>0</v>
      </c>
      <c r="AJ124" s="14" t="str">
        <f>VLOOKUP(B124,[1]Sheet1!$A$2:$F$294,5,FALSE)</f>
        <v>无</v>
      </c>
    </row>
    <row r="125" s="2" customFormat="1" ht="14.25" spans="1:36">
      <c r="A125" s="11">
        <v>124</v>
      </c>
      <c r="B125" s="12">
        <v>22408000335</v>
      </c>
      <c r="C125" s="13" t="s">
        <v>639</v>
      </c>
      <c r="D125" s="14" t="s">
        <v>607</v>
      </c>
      <c r="E125" s="41" t="s">
        <v>640</v>
      </c>
      <c r="F125" s="14">
        <v>15576785583</v>
      </c>
      <c r="G125" s="15">
        <v>15907467685</v>
      </c>
      <c r="H125" s="15">
        <v>15200991135</v>
      </c>
      <c r="I125" s="14" t="s">
        <v>58</v>
      </c>
      <c r="J125" s="15">
        <v>2022080003</v>
      </c>
      <c r="K125" s="16" t="s">
        <v>37</v>
      </c>
      <c r="L125" s="14" t="s">
        <v>59</v>
      </c>
      <c r="M125" s="14" t="s">
        <v>60</v>
      </c>
      <c r="N125" s="14" t="s">
        <v>636</v>
      </c>
      <c r="O125" s="15">
        <v>2022</v>
      </c>
      <c r="P125" s="15" t="s">
        <v>41</v>
      </c>
      <c r="Q125" s="15" t="s">
        <v>115</v>
      </c>
      <c r="R125" s="15" t="s">
        <v>63</v>
      </c>
      <c r="S125" s="15" t="s">
        <v>641</v>
      </c>
      <c r="T125" s="15">
        <v>425600</v>
      </c>
      <c r="U125" s="15" t="s">
        <v>45</v>
      </c>
      <c r="V125" s="15" t="s">
        <v>58</v>
      </c>
      <c r="W125" s="15" t="s">
        <v>46</v>
      </c>
      <c r="X125" s="15" t="s">
        <v>47</v>
      </c>
      <c r="Y125" s="15" t="s">
        <v>66</v>
      </c>
      <c r="Z125" s="15" t="s">
        <v>49</v>
      </c>
      <c r="AA125" s="15" t="s">
        <v>50</v>
      </c>
      <c r="AB125" s="15" t="s">
        <v>67</v>
      </c>
      <c r="AC125" s="15" t="s">
        <v>52</v>
      </c>
      <c r="AD125" s="15" t="s">
        <v>53</v>
      </c>
      <c r="AE125" s="15" t="s">
        <v>54</v>
      </c>
      <c r="AF125" s="15" t="s">
        <v>55</v>
      </c>
      <c r="AG125" s="15"/>
      <c r="AH125" s="14" t="str">
        <f>VLOOKUP(B125,[1]Sheet1!$A$2:$F$294,6,FALSE)</f>
        <v>无</v>
      </c>
      <c r="AI125" s="14">
        <f>VLOOKUP(B125,[1]Sheet1!$A$2:$F$294,4,FALSE)</f>
        <v>0</v>
      </c>
      <c r="AJ125" s="14" t="str">
        <f>VLOOKUP(B125,[1]Sheet1!$A$2:$F$294,5,FALSE)</f>
        <v>无</v>
      </c>
    </row>
    <row r="126" s="2" customFormat="1" ht="14.25" spans="1:36">
      <c r="A126" s="11">
        <v>125</v>
      </c>
      <c r="B126" s="12">
        <v>22408000339</v>
      </c>
      <c r="C126" s="13" t="s">
        <v>642</v>
      </c>
      <c r="D126" s="14" t="s">
        <v>607</v>
      </c>
      <c r="E126" s="41" t="s">
        <v>643</v>
      </c>
      <c r="F126" s="14">
        <v>18381639878</v>
      </c>
      <c r="G126" s="15">
        <v>13439542229</v>
      </c>
      <c r="H126" s="15">
        <v>13671272985</v>
      </c>
      <c r="I126" s="14" t="s">
        <v>36</v>
      </c>
      <c r="J126" s="15">
        <v>2022080003</v>
      </c>
      <c r="K126" s="16" t="s">
        <v>37</v>
      </c>
      <c r="L126" s="14" t="s">
        <v>38</v>
      </c>
      <c r="M126" s="14" t="s">
        <v>39</v>
      </c>
      <c r="N126" s="14" t="s">
        <v>91</v>
      </c>
      <c r="O126" s="15">
        <v>2022</v>
      </c>
      <c r="P126" s="15" t="s">
        <v>41</v>
      </c>
      <c r="Q126" s="15" t="s">
        <v>644</v>
      </c>
      <c r="R126" s="15" t="s">
        <v>63</v>
      </c>
      <c r="S126" s="15" t="s">
        <v>645</v>
      </c>
      <c r="T126" s="15">
        <v>621000</v>
      </c>
      <c r="U126" s="15" t="s">
        <v>364</v>
      </c>
      <c r="V126" s="15" t="s">
        <v>36</v>
      </c>
      <c r="W126" s="15" t="s">
        <v>46</v>
      </c>
      <c r="X126" s="15" t="s">
        <v>47</v>
      </c>
      <c r="Y126" s="15" t="s">
        <v>47</v>
      </c>
      <c r="Z126" s="15" t="s">
        <v>49</v>
      </c>
      <c r="AA126" s="15" t="s">
        <v>100</v>
      </c>
      <c r="AB126" s="15" t="s">
        <v>51</v>
      </c>
      <c r="AC126" s="15" t="s">
        <v>52</v>
      </c>
      <c r="AD126" s="15" t="s">
        <v>53</v>
      </c>
      <c r="AE126" s="15" t="s">
        <v>54</v>
      </c>
      <c r="AF126" s="15" t="s">
        <v>55</v>
      </c>
      <c r="AG126" s="15"/>
      <c r="AH126" s="14" t="str">
        <f>VLOOKUP(B126,[1]Sheet1!$A$2:$F$294,6,FALSE)</f>
        <v>一般困难</v>
      </c>
      <c r="AI126" s="14">
        <f>VLOOKUP(B126,[1]Sheet1!$A$2:$F$294,4,FALSE)</f>
        <v>0</v>
      </c>
      <c r="AJ126" s="14" t="str">
        <f>VLOOKUP(B126,[1]Sheet1!$A$2:$F$294,5,FALSE)</f>
        <v>无</v>
      </c>
    </row>
    <row r="127" s="2" customFormat="1" ht="14.25" spans="1:36">
      <c r="A127" s="11">
        <v>126</v>
      </c>
      <c r="B127" s="12">
        <v>22408000418</v>
      </c>
      <c r="C127" s="13" t="s">
        <v>646</v>
      </c>
      <c r="D127" s="14" t="s">
        <v>607</v>
      </c>
      <c r="E127" s="41" t="s">
        <v>647</v>
      </c>
      <c r="F127" s="14">
        <v>17267645520</v>
      </c>
      <c r="G127" s="15">
        <v>18153890089</v>
      </c>
      <c r="H127" s="15">
        <v>18153890089</v>
      </c>
      <c r="I127" s="14" t="s">
        <v>58</v>
      </c>
      <c r="J127" s="15">
        <v>2022080004</v>
      </c>
      <c r="K127" s="16" t="s">
        <v>123</v>
      </c>
      <c r="L127" s="14" t="s">
        <v>59</v>
      </c>
      <c r="M127" s="14" t="s">
        <v>60</v>
      </c>
      <c r="N127" s="14" t="s">
        <v>648</v>
      </c>
      <c r="O127" s="15">
        <v>2022</v>
      </c>
      <c r="P127" s="15" t="s">
        <v>41</v>
      </c>
      <c r="Q127" s="15" t="s">
        <v>115</v>
      </c>
      <c r="R127" s="15" t="s">
        <v>43</v>
      </c>
      <c r="S127" s="15" t="s">
        <v>649</v>
      </c>
      <c r="T127" s="15">
        <v>425800</v>
      </c>
      <c r="U127" s="15" t="s">
        <v>45</v>
      </c>
      <c r="V127" s="15" t="s">
        <v>58</v>
      </c>
      <c r="W127" s="15" t="s">
        <v>46</v>
      </c>
      <c r="X127" s="15" t="s">
        <v>47</v>
      </c>
      <c r="Y127" s="15" t="s">
        <v>126</v>
      </c>
      <c r="Z127" s="15" t="s">
        <v>49</v>
      </c>
      <c r="AA127" s="15" t="s">
        <v>100</v>
      </c>
      <c r="AB127" s="15" t="s">
        <v>51</v>
      </c>
      <c r="AC127" s="15" t="s">
        <v>52</v>
      </c>
      <c r="AD127" s="15" t="s">
        <v>53</v>
      </c>
      <c r="AE127" s="15" t="s">
        <v>54</v>
      </c>
      <c r="AF127" s="15" t="s">
        <v>55</v>
      </c>
      <c r="AG127" s="15"/>
      <c r="AH127" s="14" t="str">
        <f>VLOOKUP(B127,[1]Sheet1!$A$2:$F$294,6,FALSE)</f>
        <v>无</v>
      </c>
      <c r="AI127" s="14">
        <f>VLOOKUP(B127,[1]Sheet1!$A$2:$F$294,4,FALSE)</f>
        <v>0</v>
      </c>
      <c r="AJ127" s="14" t="str">
        <f>VLOOKUP(B127,[1]Sheet1!$A$2:$F$294,5,FALSE)</f>
        <v>无</v>
      </c>
    </row>
    <row r="128" s="2" customFormat="1" ht="14.25" spans="1:36">
      <c r="A128" s="11">
        <v>127</v>
      </c>
      <c r="B128" s="12">
        <v>22408000422</v>
      </c>
      <c r="C128" s="13" t="s">
        <v>650</v>
      </c>
      <c r="D128" s="14" t="s">
        <v>607</v>
      </c>
      <c r="E128" s="41" t="s">
        <v>651</v>
      </c>
      <c r="F128" s="14">
        <v>17674559390</v>
      </c>
      <c r="G128" s="15">
        <v>15874581943</v>
      </c>
      <c r="H128" s="15">
        <v>15115227885</v>
      </c>
      <c r="I128" s="14" t="s">
        <v>58</v>
      </c>
      <c r="J128" s="15">
        <v>2022080004</v>
      </c>
      <c r="K128" s="16" t="s">
        <v>123</v>
      </c>
      <c r="L128" s="14" t="s">
        <v>59</v>
      </c>
      <c r="M128" s="14" t="s">
        <v>60</v>
      </c>
      <c r="N128" s="14" t="s">
        <v>648</v>
      </c>
      <c r="O128" s="15">
        <v>2022</v>
      </c>
      <c r="P128" s="15" t="s">
        <v>487</v>
      </c>
      <c r="Q128" s="15" t="s">
        <v>289</v>
      </c>
      <c r="R128" s="15" t="s">
        <v>63</v>
      </c>
      <c r="S128" s="15" t="s">
        <v>652</v>
      </c>
      <c r="T128" s="15">
        <v>419400</v>
      </c>
      <c r="U128" s="15" t="s">
        <v>45</v>
      </c>
      <c r="V128" s="15" t="s">
        <v>58</v>
      </c>
      <c r="W128" s="15" t="s">
        <v>653</v>
      </c>
      <c r="X128" s="15" t="s">
        <v>74</v>
      </c>
      <c r="Y128" s="15" t="s">
        <v>47</v>
      </c>
      <c r="Z128" s="15" t="s">
        <v>75</v>
      </c>
      <c r="AA128" s="15" t="s">
        <v>50</v>
      </c>
      <c r="AB128" s="15" t="s">
        <v>67</v>
      </c>
      <c r="AC128" s="15" t="s">
        <v>52</v>
      </c>
      <c r="AD128" s="15" t="s">
        <v>53</v>
      </c>
      <c r="AE128" s="15" t="s">
        <v>54</v>
      </c>
      <c r="AF128" s="15" t="s">
        <v>55</v>
      </c>
      <c r="AG128" s="15"/>
      <c r="AH128" s="14" t="str">
        <f>VLOOKUP(B128,[1]Sheet1!$A$2:$F$294,6,FALSE)</f>
        <v>无</v>
      </c>
      <c r="AI128" s="14">
        <f>VLOOKUP(B128,[1]Sheet1!$A$2:$F$294,4,FALSE)</f>
        <v>0</v>
      </c>
      <c r="AJ128" s="14" t="str">
        <f>VLOOKUP(B128,[1]Sheet1!$A$2:$F$294,5,FALSE)</f>
        <v>无</v>
      </c>
    </row>
    <row r="129" s="2" customFormat="1" ht="14.25" spans="1:36">
      <c r="A129" s="11">
        <v>128</v>
      </c>
      <c r="B129" s="12">
        <v>22408000423</v>
      </c>
      <c r="C129" s="13" t="s">
        <v>654</v>
      </c>
      <c r="D129" s="14" t="s">
        <v>607</v>
      </c>
      <c r="E129" s="41" t="s">
        <v>655</v>
      </c>
      <c r="F129" s="14">
        <v>13677954419</v>
      </c>
      <c r="G129" s="15">
        <v>15980861791</v>
      </c>
      <c r="H129" s="15">
        <v>18270612500</v>
      </c>
      <c r="I129" s="14" t="s">
        <v>58</v>
      </c>
      <c r="J129" s="15">
        <v>2022080004</v>
      </c>
      <c r="K129" s="16" t="s">
        <v>123</v>
      </c>
      <c r="L129" s="14" t="s">
        <v>59</v>
      </c>
      <c r="M129" s="14" t="s">
        <v>60</v>
      </c>
      <c r="N129" s="14" t="s">
        <v>656</v>
      </c>
      <c r="O129" s="15">
        <v>2022</v>
      </c>
      <c r="P129" s="15" t="s">
        <v>41</v>
      </c>
      <c r="Q129" s="15" t="s">
        <v>657</v>
      </c>
      <c r="R129" s="15" t="s">
        <v>43</v>
      </c>
      <c r="S129" s="15" t="s">
        <v>658</v>
      </c>
      <c r="T129" s="15">
        <v>331100</v>
      </c>
      <c r="U129" s="15" t="s">
        <v>176</v>
      </c>
      <c r="V129" s="15" t="s">
        <v>58</v>
      </c>
      <c r="W129" s="15" t="s">
        <v>46</v>
      </c>
      <c r="X129" s="15" t="s">
        <v>74</v>
      </c>
      <c r="Y129" s="15" t="s">
        <v>132</v>
      </c>
      <c r="Z129" s="15" t="s">
        <v>49</v>
      </c>
      <c r="AA129" s="15" t="s">
        <v>100</v>
      </c>
      <c r="AB129" s="15" t="s">
        <v>67</v>
      </c>
      <c r="AC129" s="15" t="s">
        <v>52</v>
      </c>
      <c r="AD129" s="15" t="s">
        <v>53</v>
      </c>
      <c r="AE129" s="15" t="s">
        <v>54</v>
      </c>
      <c r="AF129" s="15" t="s">
        <v>55</v>
      </c>
      <c r="AG129" s="15"/>
      <c r="AH129" s="14" t="str">
        <f>VLOOKUP(B129,[1]Sheet1!$A$2:$F$294,6,FALSE)</f>
        <v>无</v>
      </c>
      <c r="AI129" s="14">
        <f>VLOOKUP(B129,[1]Sheet1!$A$2:$F$294,4,FALSE)</f>
        <v>0</v>
      </c>
      <c r="AJ129" s="14" t="str">
        <f>VLOOKUP(B129,[1]Sheet1!$A$2:$F$294,5,FALSE)</f>
        <v>无</v>
      </c>
    </row>
    <row r="130" s="2" customFormat="1" ht="14.25" spans="1:36">
      <c r="A130" s="11">
        <v>129</v>
      </c>
      <c r="B130" s="12">
        <v>22408000425</v>
      </c>
      <c r="C130" s="13" t="s">
        <v>659</v>
      </c>
      <c r="D130" s="14" t="s">
        <v>607</v>
      </c>
      <c r="E130" s="41" t="s">
        <v>660</v>
      </c>
      <c r="F130" s="14">
        <v>18890133892</v>
      </c>
      <c r="G130" s="15">
        <v>18673542993</v>
      </c>
      <c r="H130" s="15">
        <v>15211765781</v>
      </c>
      <c r="I130" s="14" t="s">
        <v>58</v>
      </c>
      <c r="J130" s="15">
        <v>2022080004</v>
      </c>
      <c r="K130" s="16" t="s">
        <v>123</v>
      </c>
      <c r="L130" s="14" t="s">
        <v>59</v>
      </c>
      <c r="M130" s="14" t="s">
        <v>60</v>
      </c>
      <c r="N130" s="14" t="s">
        <v>656</v>
      </c>
      <c r="O130" s="15">
        <v>2022</v>
      </c>
      <c r="P130" s="15" t="s">
        <v>41</v>
      </c>
      <c r="Q130" s="15" t="s">
        <v>42</v>
      </c>
      <c r="R130" s="15" t="s">
        <v>63</v>
      </c>
      <c r="S130" s="15" t="s">
        <v>661</v>
      </c>
      <c r="T130" s="15">
        <v>424499</v>
      </c>
      <c r="U130" s="15" t="s">
        <v>45</v>
      </c>
      <c r="V130" s="15" t="s">
        <v>58</v>
      </c>
      <c r="W130" s="15" t="s">
        <v>46</v>
      </c>
      <c r="X130" s="15" t="s">
        <v>74</v>
      </c>
      <c r="Y130" s="15" t="s">
        <v>132</v>
      </c>
      <c r="Z130" s="15" t="s">
        <v>49</v>
      </c>
      <c r="AA130" s="15" t="s">
        <v>50</v>
      </c>
      <c r="AB130" s="15" t="s">
        <v>67</v>
      </c>
      <c r="AC130" s="15" t="s">
        <v>52</v>
      </c>
      <c r="AD130" s="15" t="s">
        <v>53</v>
      </c>
      <c r="AE130" s="15" t="s">
        <v>54</v>
      </c>
      <c r="AF130" s="15" t="s">
        <v>55</v>
      </c>
      <c r="AG130" s="15"/>
      <c r="AH130" s="14" t="str">
        <f>VLOOKUP(B130,[1]Sheet1!$A$2:$F$294,6,FALSE)</f>
        <v>无</v>
      </c>
      <c r="AI130" s="14">
        <f>VLOOKUP(B130,[1]Sheet1!$A$2:$F$294,4,FALSE)</f>
        <v>0</v>
      </c>
      <c r="AJ130" s="14" t="str">
        <f>VLOOKUP(B130,[1]Sheet1!$A$2:$F$294,5,FALSE)</f>
        <v>无</v>
      </c>
    </row>
    <row r="131" s="2" customFormat="1" ht="14.25" spans="1:36">
      <c r="A131" s="11">
        <v>130</v>
      </c>
      <c r="B131" s="12">
        <v>22408000427</v>
      </c>
      <c r="C131" s="13" t="s">
        <v>662</v>
      </c>
      <c r="D131" s="14" t="s">
        <v>607</v>
      </c>
      <c r="E131" s="41" t="s">
        <v>663</v>
      </c>
      <c r="F131" s="14">
        <v>15581266445</v>
      </c>
      <c r="G131" s="15">
        <v>18073885917</v>
      </c>
      <c r="H131" s="15">
        <v>17742580607</v>
      </c>
      <c r="I131" s="14" t="s">
        <v>58</v>
      </c>
      <c r="J131" s="15">
        <v>2022080004</v>
      </c>
      <c r="K131" s="16" t="s">
        <v>123</v>
      </c>
      <c r="L131" s="14" t="s">
        <v>59</v>
      </c>
      <c r="M131" s="14" t="s">
        <v>60</v>
      </c>
      <c r="N131" s="14" t="s">
        <v>129</v>
      </c>
      <c r="O131" s="15">
        <v>2022</v>
      </c>
      <c r="P131" s="15" t="s">
        <v>41</v>
      </c>
      <c r="Q131" s="15" t="s">
        <v>183</v>
      </c>
      <c r="R131" s="15" t="s">
        <v>63</v>
      </c>
      <c r="S131" s="15" t="s">
        <v>664</v>
      </c>
      <c r="T131" s="15">
        <v>417100</v>
      </c>
      <c r="U131" s="15" t="s">
        <v>45</v>
      </c>
      <c r="V131" s="15" t="s">
        <v>58</v>
      </c>
      <c r="W131" s="15" t="s">
        <v>46</v>
      </c>
      <c r="X131" s="15" t="s">
        <v>74</v>
      </c>
      <c r="Y131" s="15" t="s">
        <v>132</v>
      </c>
      <c r="Z131" s="15" t="s">
        <v>75</v>
      </c>
      <c r="AA131" s="15" t="s">
        <v>50</v>
      </c>
      <c r="AB131" s="15" t="s">
        <v>51</v>
      </c>
      <c r="AC131" s="15" t="s">
        <v>52</v>
      </c>
      <c r="AD131" s="15" t="s">
        <v>53</v>
      </c>
      <c r="AE131" s="15" t="s">
        <v>54</v>
      </c>
      <c r="AF131" s="15" t="s">
        <v>55</v>
      </c>
      <c r="AG131" s="15"/>
      <c r="AH131" s="14" t="str">
        <f>VLOOKUP(B131,[1]Sheet1!$A$2:$F$294,6,FALSE)</f>
        <v>无</v>
      </c>
      <c r="AI131" s="14">
        <f>VLOOKUP(B131,[1]Sheet1!$A$2:$F$294,4,FALSE)</f>
        <v>0</v>
      </c>
      <c r="AJ131" s="14" t="str">
        <f>VLOOKUP(B131,[1]Sheet1!$A$2:$F$294,5,FALSE)</f>
        <v>无</v>
      </c>
    </row>
    <row r="132" s="2" customFormat="1" ht="14.25" spans="1:36">
      <c r="A132" s="11">
        <v>131</v>
      </c>
      <c r="B132" s="12">
        <v>22408000435</v>
      </c>
      <c r="C132" s="13" t="s">
        <v>665</v>
      </c>
      <c r="D132" s="14" t="s">
        <v>607</v>
      </c>
      <c r="E132" s="41" t="s">
        <v>666</v>
      </c>
      <c r="F132" s="14">
        <v>19184791084</v>
      </c>
      <c r="G132" s="15">
        <v>18748629916</v>
      </c>
      <c r="H132" s="15">
        <v>13639194368</v>
      </c>
      <c r="I132" s="14" t="s">
        <v>58</v>
      </c>
      <c r="J132" s="15">
        <v>2022080004</v>
      </c>
      <c r="K132" s="16" t="s">
        <v>123</v>
      </c>
      <c r="L132" s="14" t="s">
        <v>59</v>
      </c>
      <c r="M132" s="14" t="s">
        <v>60</v>
      </c>
      <c r="N132" s="14" t="s">
        <v>139</v>
      </c>
      <c r="O132" s="15">
        <v>2022</v>
      </c>
      <c r="P132" s="15" t="s">
        <v>41</v>
      </c>
      <c r="Q132" s="15" t="s">
        <v>667</v>
      </c>
      <c r="R132" s="15" t="s">
        <v>43</v>
      </c>
      <c r="S132" s="15" t="s">
        <v>668</v>
      </c>
      <c r="T132" s="15">
        <v>553408</v>
      </c>
      <c r="U132" s="15" t="s">
        <v>518</v>
      </c>
      <c r="V132" s="15" t="s">
        <v>58</v>
      </c>
      <c r="W132" s="15" t="s">
        <v>46</v>
      </c>
      <c r="X132" s="15" t="s">
        <v>47</v>
      </c>
      <c r="Y132" s="15" t="s">
        <v>136</v>
      </c>
      <c r="Z132" s="15" t="s">
        <v>49</v>
      </c>
      <c r="AA132" s="15" t="s">
        <v>50</v>
      </c>
      <c r="AB132" s="15" t="s">
        <v>67</v>
      </c>
      <c r="AC132" s="15" t="s">
        <v>52</v>
      </c>
      <c r="AD132" s="15" t="s">
        <v>53</v>
      </c>
      <c r="AE132" s="15" t="s">
        <v>54</v>
      </c>
      <c r="AF132" s="15" t="s">
        <v>55</v>
      </c>
      <c r="AG132" s="15"/>
      <c r="AH132" s="14" t="str">
        <f>VLOOKUP(B132,[1]Sheet1!$A$2:$F$294,6,FALSE)</f>
        <v>特别困难</v>
      </c>
      <c r="AI132" s="14">
        <f>VLOOKUP(B132,[1]Sheet1!$A$2:$F$294,4,FALSE)</f>
        <v>0</v>
      </c>
      <c r="AJ132" s="14" t="str">
        <f>VLOOKUP(B132,[1]Sheet1!$A$2:$F$294,5,FALSE)</f>
        <v>无</v>
      </c>
    </row>
    <row r="133" s="2" customFormat="1" ht="14.25" spans="1:36">
      <c r="A133" s="11">
        <v>132</v>
      </c>
      <c r="B133" s="12">
        <v>22408000439</v>
      </c>
      <c r="C133" s="13" t="s">
        <v>669</v>
      </c>
      <c r="D133" s="14" t="s">
        <v>607</v>
      </c>
      <c r="E133" s="41" t="s">
        <v>670</v>
      </c>
      <c r="F133" s="14">
        <v>15773953495</v>
      </c>
      <c r="G133" s="15">
        <v>15802613452</v>
      </c>
      <c r="H133" s="15" t="s">
        <v>239</v>
      </c>
      <c r="I133" s="14" t="s">
        <v>58</v>
      </c>
      <c r="J133" s="15">
        <v>2022080004</v>
      </c>
      <c r="K133" s="16" t="s">
        <v>123</v>
      </c>
      <c r="L133" s="14" t="s">
        <v>59</v>
      </c>
      <c r="M133" s="14" t="s">
        <v>60</v>
      </c>
      <c r="N133" s="14" t="s">
        <v>144</v>
      </c>
      <c r="O133" s="15">
        <v>2022</v>
      </c>
      <c r="P133" s="15" t="s">
        <v>41</v>
      </c>
      <c r="Q133" s="15" t="s">
        <v>194</v>
      </c>
      <c r="R133" s="15" t="s">
        <v>63</v>
      </c>
      <c r="S133" s="15" t="s">
        <v>671</v>
      </c>
      <c r="T133" s="15">
        <v>422800</v>
      </c>
      <c r="U133" s="15" t="s">
        <v>45</v>
      </c>
      <c r="V133" s="15" t="s">
        <v>58</v>
      </c>
      <c r="W133" s="15" t="s">
        <v>46</v>
      </c>
      <c r="X133" s="15" t="s">
        <v>47</v>
      </c>
      <c r="Y133" s="15" t="s">
        <v>136</v>
      </c>
      <c r="Z133" s="15" t="s">
        <v>49</v>
      </c>
      <c r="AA133" s="15" t="s">
        <v>160</v>
      </c>
      <c r="AB133" s="15" t="s">
        <v>67</v>
      </c>
      <c r="AC133" s="15" t="s">
        <v>101</v>
      </c>
      <c r="AD133" s="15" t="s">
        <v>672</v>
      </c>
      <c r="AE133" s="15" t="s">
        <v>673</v>
      </c>
      <c r="AF133" s="15" t="s">
        <v>55</v>
      </c>
      <c r="AG133" s="15" t="s">
        <v>674</v>
      </c>
      <c r="AH133" s="14" t="str">
        <f>VLOOKUP(B133,[1]Sheet1!$A$2:$F$294,6,FALSE)</f>
        <v>特别困难</v>
      </c>
      <c r="AI133" s="14">
        <f>VLOOKUP(B133,[1]Sheet1!$A$2:$F$294,4,FALSE)</f>
        <v>0</v>
      </c>
      <c r="AJ133" s="14" t="str">
        <f>VLOOKUP(B133,[1]Sheet1!$A$2:$F$294,5,FALSE)</f>
        <v>无</v>
      </c>
    </row>
    <row r="134" s="2" customFormat="1" ht="14.25" spans="1:36">
      <c r="A134" s="11">
        <v>133</v>
      </c>
      <c r="B134" s="12">
        <v>22408000515</v>
      </c>
      <c r="C134" s="13" t="s">
        <v>675</v>
      </c>
      <c r="D134" s="14" t="s">
        <v>607</v>
      </c>
      <c r="E134" s="41" t="s">
        <v>676</v>
      </c>
      <c r="F134" s="14">
        <v>13117899464</v>
      </c>
      <c r="G134" s="15">
        <v>15869454216</v>
      </c>
      <c r="H134" s="15">
        <v>18758739602</v>
      </c>
      <c r="I134" s="14" t="s">
        <v>58</v>
      </c>
      <c r="J134" s="15">
        <v>2022080005</v>
      </c>
      <c r="K134" s="16" t="s">
        <v>151</v>
      </c>
      <c r="L134" s="14" t="s">
        <v>59</v>
      </c>
      <c r="M134" s="14" t="s">
        <v>152</v>
      </c>
      <c r="N134" s="14" t="s">
        <v>157</v>
      </c>
      <c r="O134" s="15">
        <v>2022</v>
      </c>
      <c r="P134" s="15" t="s">
        <v>41</v>
      </c>
      <c r="Q134" s="15" t="s">
        <v>677</v>
      </c>
      <c r="R134" s="15" t="s">
        <v>63</v>
      </c>
      <c r="S134" s="15" t="s">
        <v>678</v>
      </c>
      <c r="T134" s="15">
        <v>332400</v>
      </c>
      <c r="U134" s="15" t="s">
        <v>176</v>
      </c>
      <c r="V134" s="15" t="s">
        <v>58</v>
      </c>
      <c r="W134" s="15" t="s">
        <v>46</v>
      </c>
      <c r="X134" s="15" t="s">
        <v>74</v>
      </c>
      <c r="Y134" s="15" t="s">
        <v>48</v>
      </c>
      <c r="Z134" s="15" t="s">
        <v>49</v>
      </c>
      <c r="AA134" s="15" t="s">
        <v>50</v>
      </c>
      <c r="AB134" s="15" t="s">
        <v>51</v>
      </c>
      <c r="AC134" s="15" t="s">
        <v>52</v>
      </c>
      <c r="AD134" s="15" t="s">
        <v>53</v>
      </c>
      <c r="AE134" s="15" t="s">
        <v>679</v>
      </c>
      <c r="AF134" s="15" t="s">
        <v>55</v>
      </c>
      <c r="AG134" s="15"/>
      <c r="AH134" s="14" t="str">
        <f>VLOOKUP(B134,[1]Sheet1!$A$2:$F$294,6,FALSE)</f>
        <v>无</v>
      </c>
      <c r="AI134" s="14">
        <f>VLOOKUP(B134,[1]Sheet1!$A$2:$F$294,4,FALSE)</f>
        <v>0</v>
      </c>
      <c r="AJ134" s="14" t="str">
        <f>VLOOKUP(B134,[1]Sheet1!$A$2:$F$294,5,FALSE)</f>
        <v>无</v>
      </c>
    </row>
    <row r="135" s="2" customFormat="1" ht="14.25" spans="1:36">
      <c r="A135" s="11">
        <v>134</v>
      </c>
      <c r="B135" s="12">
        <v>22408000520</v>
      </c>
      <c r="C135" s="13" t="s">
        <v>680</v>
      </c>
      <c r="D135" s="14" t="s">
        <v>607</v>
      </c>
      <c r="E135" s="41" t="s">
        <v>681</v>
      </c>
      <c r="F135" s="14">
        <v>13627387916</v>
      </c>
      <c r="G135" s="15">
        <v>15102074282</v>
      </c>
      <c r="H135" s="15">
        <v>15211381687</v>
      </c>
      <c r="I135" s="14" t="s">
        <v>58</v>
      </c>
      <c r="J135" s="15">
        <v>2022080005</v>
      </c>
      <c r="K135" s="16" t="s">
        <v>151</v>
      </c>
      <c r="L135" s="14" t="s">
        <v>59</v>
      </c>
      <c r="M135" s="14" t="s">
        <v>152</v>
      </c>
      <c r="N135" s="14" t="s">
        <v>682</v>
      </c>
      <c r="O135" s="15">
        <v>2022</v>
      </c>
      <c r="P135" s="15" t="s">
        <v>41</v>
      </c>
      <c r="Q135" s="15" t="s">
        <v>683</v>
      </c>
      <c r="R135" s="15" t="s">
        <v>43</v>
      </c>
      <c r="S135" s="15" t="s">
        <v>684</v>
      </c>
      <c r="T135" s="15">
        <v>417700</v>
      </c>
      <c r="U135" s="15" t="s">
        <v>45</v>
      </c>
      <c r="V135" s="15" t="s">
        <v>58</v>
      </c>
      <c r="W135" s="15" t="s">
        <v>46</v>
      </c>
      <c r="X135" s="15" t="s">
        <v>74</v>
      </c>
      <c r="Y135" s="15" t="s">
        <v>48</v>
      </c>
      <c r="Z135" s="15" t="s">
        <v>49</v>
      </c>
      <c r="AA135" s="15" t="s">
        <v>50</v>
      </c>
      <c r="AB135" s="15" t="s">
        <v>67</v>
      </c>
      <c r="AC135" s="15" t="s">
        <v>52</v>
      </c>
      <c r="AD135" s="15" t="s">
        <v>53</v>
      </c>
      <c r="AE135" s="15" t="s">
        <v>54</v>
      </c>
      <c r="AF135" s="15" t="s">
        <v>55</v>
      </c>
      <c r="AG135" s="15"/>
      <c r="AH135" s="14" t="str">
        <f>VLOOKUP(B135,[1]Sheet1!$A$2:$F$294,6,FALSE)</f>
        <v>特别困难</v>
      </c>
      <c r="AI135" s="14">
        <f>VLOOKUP(B135,[1]Sheet1!$A$2:$F$294,4,FALSE)</f>
        <v>0</v>
      </c>
      <c r="AJ135" s="14" t="str">
        <f>VLOOKUP(B135,[1]Sheet1!$A$2:$F$294,5,FALSE)</f>
        <v>无</v>
      </c>
    </row>
    <row r="136" s="2" customFormat="1" ht="14.25" spans="1:36">
      <c r="A136" s="11">
        <v>135</v>
      </c>
      <c r="B136" s="12">
        <v>22408000522</v>
      </c>
      <c r="C136" s="13" t="s">
        <v>685</v>
      </c>
      <c r="D136" s="14" t="s">
        <v>607</v>
      </c>
      <c r="E136" s="41" t="s">
        <v>686</v>
      </c>
      <c r="F136" s="14">
        <v>18214175778</v>
      </c>
      <c r="G136" s="15">
        <v>15825136973</v>
      </c>
      <c r="H136" s="15">
        <v>13759067603</v>
      </c>
      <c r="I136" s="14" t="s">
        <v>36</v>
      </c>
      <c r="J136" s="15">
        <v>2022080005</v>
      </c>
      <c r="K136" s="16" t="s">
        <v>151</v>
      </c>
      <c r="L136" s="14" t="s">
        <v>38</v>
      </c>
      <c r="M136" s="14" t="s">
        <v>39</v>
      </c>
      <c r="N136" s="14" t="s">
        <v>187</v>
      </c>
      <c r="O136" s="15">
        <v>2022</v>
      </c>
      <c r="P136" s="15" t="s">
        <v>41</v>
      </c>
      <c r="Q136" s="15" t="s">
        <v>687</v>
      </c>
      <c r="R136" s="15" t="s">
        <v>63</v>
      </c>
      <c r="S136" s="15" t="s">
        <v>688</v>
      </c>
      <c r="T136" s="15">
        <v>652702</v>
      </c>
      <c r="U136" s="15" t="s">
        <v>196</v>
      </c>
      <c r="V136" s="15" t="s">
        <v>36</v>
      </c>
      <c r="W136" s="15" t="s">
        <v>46</v>
      </c>
      <c r="X136" s="15" t="s">
        <v>74</v>
      </c>
      <c r="Y136" s="15" t="s">
        <v>88</v>
      </c>
      <c r="Z136" s="15" t="s">
        <v>49</v>
      </c>
      <c r="AA136" s="15" t="s">
        <v>50</v>
      </c>
      <c r="AB136" s="15" t="s">
        <v>67</v>
      </c>
      <c r="AC136" s="15" t="s">
        <v>52</v>
      </c>
      <c r="AD136" s="15" t="s">
        <v>53</v>
      </c>
      <c r="AE136" s="15" t="s">
        <v>54</v>
      </c>
      <c r="AF136" s="15" t="s">
        <v>55</v>
      </c>
      <c r="AG136" s="15"/>
      <c r="AH136" s="14" t="str">
        <f>VLOOKUP(B136,[1]Sheet1!$A$2:$F$294,6,FALSE)</f>
        <v>困难</v>
      </c>
      <c r="AI136" s="14">
        <f>VLOOKUP(B136,[1]Sheet1!$A$2:$F$294,4,FALSE)</f>
        <v>0</v>
      </c>
      <c r="AJ136" s="14" t="str">
        <f>VLOOKUP(B136,[1]Sheet1!$A$2:$F$294,5,FALSE)</f>
        <v>无</v>
      </c>
    </row>
    <row r="137" s="2" customFormat="1" ht="14.25" spans="1:36">
      <c r="A137" s="11">
        <v>136</v>
      </c>
      <c r="B137" s="12">
        <v>22408000530</v>
      </c>
      <c r="C137" s="13" t="s">
        <v>689</v>
      </c>
      <c r="D137" s="14" t="s">
        <v>607</v>
      </c>
      <c r="E137" s="41" t="s">
        <v>690</v>
      </c>
      <c r="F137" s="14">
        <v>18356832348</v>
      </c>
      <c r="G137" s="15">
        <v>13865874246</v>
      </c>
      <c r="H137" s="15">
        <v>15005681881</v>
      </c>
      <c r="I137" s="14" t="s">
        <v>58</v>
      </c>
      <c r="J137" s="15">
        <v>2022080005</v>
      </c>
      <c r="K137" s="16" t="s">
        <v>151</v>
      </c>
      <c r="L137" s="14" t="s">
        <v>59</v>
      </c>
      <c r="M137" s="14" t="s">
        <v>152</v>
      </c>
      <c r="N137" s="14" t="s">
        <v>691</v>
      </c>
      <c r="O137" s="15">
        <v>2022</v>
      </c>
      <c r="P137" s="15" t="s">
        <v>41</v>
      </c>
      <c r="Q137" s="15" t="s">
        <v>692</v>
      </c>
      <c r="R137" s="15" t="s">
        <v>63</v>
      </c>
      <c r="S137" s="15" t="s">
        <v>693</v>
      </c>
      <c r="T137" s="15">
        <v>236300</v>
      </c>
      <c r="U137" s="15" t="s">
        <v>694</v>
      </c>
      <c r="V137" s="15" t="s">
        <v>58</v>
      </c>
      <c r="W137" s="15" t="s">
        <v>46</v>
      </c>
      <c r="X137" s="15" t="s">
        <v>74</v>
      </c>
      <c r="Y137" s="15" t="s">
        <v>88</v>
      </c>
      <c r="Z137" s="15" t="s">
        <v>49</v>
      </c>
      <c r="AA137" s="15" t="s">
        <v>50</v>
      </c>
      <c r="AB137" s="15" t="s">
        <v>67</v>
      </c>
      <c r="AC137" s="15" t="s">
        <v>52</v>
      </c>
      <c r="AD137" s="15" t="s">
        <v>53</v>
      </c>
      <c r="AE137" s="15" t="s">
        <v>148</v>
      </c>
      <c r="AF137" s="15" t="s">
        <v>55</v>
      </c>
      <c r="AG137" s="15"/>
      <c r="AH137" s="14" t="str">
        <f>VLOOKUP(B137,[1]Sheet1!$A$2:$F$294,6,FALSE)</f>
        <v>困难</v>
      </c>
      <c r="AI137" s="14">
        <f>VLOOKUP(B137,[1]Sheet1!$A$2:$F$294,4,FALSE)</f>
        <v>0</v>
      </c>
      <c r="AJ137" s="14" t="str">
        <f>VLOOKUP(B137,[1]Sheet1!$A$2:$F$294,5,FALSE)</f>
        <v>无</v>
      </c>
    </row>
    <row r="138" s="2" customFormat="1" ht="14.25" spans="1:36">
      <c r="A138" s="11">
        <v>137</v>
      </c>
      <c r="B138" s="12">
        <v>22408000531</v>
      </c>
      <c r="C138" s="13" t="s">
        <v>695</v>
      </c>
      <c r="D138" s="14" t="s">
        <v>607</v>
      </c>
      <c r="E138" s="41" t="s">
        <v>696</v>
      </c>
      <c r="F138" s="14">
        <v>13209925449</v>
      </c>
      <c r="G138" s="15">
        <v>13579211323</v>
      </c>
      <c r="H138" s="15">
        <v>18129222543</v>
      </c>
      <c r="I138" s="14" t="s">
        <v>58</v>
      </c>
      <c r="J138" s="15">
        <v>2022080005</v>
      </c>
      <c r="K138" s="16" t="s">
        <v>151</v>
      </c>
      <c r="L138" s="14" t="s">
        <v>59</v>
      </c>
      <c r="M138" s="14" t="s">
        <v>152</v>
      </c>
      <c r="N138" s="14" t="s">
        <v>691</v>
      </c>
      <c r="O138" s="15">
        <v>2022</v>
      </c>
      <c r="P138" s="15" t="s">
        <v>41</v>
      </c>
      <c r="Q138" s="15" t="s">
        <v>140</v>
      </c>
      <c r="R138" s="15" t="s">
        <v>43</v>
      </c>
      <c r="S138" s="15" t="s">
        <v>697</v>
      </c>
      <c r="T138" s="15">
        <v>830000</v>
      </c>
      <c r="U138" s="15" t="s">
        <v>333</v>
      </c>
      <c r="V138" s="15" t="s">
        <v>58</v>
      </c>
      <c r="W138" s="15" t="s">
        <v>46</v>
      </c>
      <c r="X138" s="15" t="s">
        <v>74</v>
      </c>
      <c r="Y138" s="15" t="s">
        <v>47</v>
      </c>
      <c r="Z138" s="15" t="s">
        <v>49</v>
      </c>
      <c r="AA138" s="15" t="s">
        <v>50</v>
      </c>
      <c r="AB138" s="15" t="s">
        <v>67</v>
      </c>
      <c r="AC138" s="15" t="s">
        <v>52</v>
      </c>
      <c r="AD138" s="15" t="s">
        <v>53</v>
      </c>
      <c r="AE138" s="15" t="s">
        <v>54</v>
      </c>
      <c r="AF138" s="15" t="s">
        <v>55</v>
      </c>
      <c r="AG138" s="15" t="s">
        <v>305</v>
      </c>
      <c r="AH138" s="14" t="str">
        <f>VLOOKUP(B138,[1]Sheet1!$A$2:$F$294,6,FALSE)</f>
        <v>无</v>
      </c>
      <c r="AI138" s="14">
        <f>VLOOKUP(B138,[1]Sheet1!$A$2:$F$294,4,FALSE)</f>
        <v>0</v>
      </c>
      <c r="AJ138" s="14" t="str">
        <f>VLOOKUP(B138,[1]Sheet1!$A$2:$F$294,5,FALSE)</f>
        <v>无</v>
      </c>
    </row>
    <row r="139" s="2" customFormat="1" ht="14.25" spans="1:36">
      <c r="A139" s="11">
        <v>138</v>
      </c>
      <c r="B139" s="12">
        <v>22408000543</v>
      </c>
      <c r="C139" s="13" t="s">
        <v>698</v>
      </c>
      <c r="D139" s="14" t="s">
        <v>607</v>
      </c>
      <c r="E139" s="41" t="s">
        <v>699</v>
      </c>
      <c r="F139" s="14">
        <v>15211947593</v>
      </c>
      <c r="G139" s="15">
        <v>15014043932</v>
      </c>
      <c r="H139" s="15">
        <v>13048902016</v>
      </c>
      <c r="I139" s="14" t="s">
        <v>58</v>
      </c>
      <c r="J139" s="15">
        <v>2022080005</v>
      </c>
      <c r="K139" s="16" t="s">
        <v>151</v>
      </c>
      <c r="L139" s="14" t="s">
        <v>59</v>
      </c>
      <c r="M139" s="14" t="s">
        <v>152</v>
      </c>
      <c r="N139" s="14" t="s">
        <v>199</v>
      </c>
      <c r="O139" s="15">
        <v>2022</v>
      </c>
      <c r="P139" s="15" t="s">
        <v>487</v>
      </c>
      <c r="Q139" s="15" t="s">
        <v>194</v>
      </c>
      <c r="R139" s="15" t="s">
        <v>63</v>
      </c>
      <c r="S139" s="15" t="s">
        <v>700</v>
      </c>
      <c r="T139" s="15">
        <v>410199</v>
      </c>
      <c r="U139" s="15" t="s">
        <v>45</v>
      </c>
      <c r="V139" s="15" t="s">
        <v>58</v>
      </c>
      <c r="W139" s="15" t="s">
        <v>653</v>
      </c>
      <c r="X139" s="15" t="s">
        <v>47</v>
      </c>
      <c r="Y139" s="15" t="s">
        <v>88</v>
      </c>
      <c r="Z139" s="15" t="s">
        <v>49</v>
      </c>
      <c r="AA139" s="15" t="s">
        <v>100</v>
      </c>
      <c r="AB139" s="15" t="s">
        <v>51</v>
      </c>
      <c r="AC139" s="15" t="s">
        <v>52</v>
      </c>
      <c r="AD139" s="15" t="s">
        <v>53</v>
      </c>
      <c r="AE139" s="15" t="s">
        <v>54</v>
      </c>
      <c r="AF139" s="15" t="s">
        <v>55</v>
      </c>
      <c r="AG139" s="15"/>
      <c r="AH139" s="14" t="str">
        <f>VLOOKUP(B139,[1]Sheet1!$A$2:$F$294,6,FALSE)</f>
        <v>无</v>
      </c>
      <c r="AI139" s="14">
        <f>VLOOKUP(B139,[1]Sheet1!$A$2:$F$294,4,FALSE)</f>
        <v>0</v>
      </c>
      <c r="AJ139" s="14" t="str">
        <f>VLOOKUP(B139,[1]Sheet1!$A$2:$F$294,5,FALSE)</f>
        <v>无</v>
      </c>
    </row>
    <row r="140" s="2" customFormat="1" ht="14.25" spans="1:36">
      <c r="A140" s="11">
        <v>139</v>
      </c>
      <c r="B140" s="12">
        <v>22408000901</v>
      </c>
      <c r="C140" s="13" t="s">
        <v>701</v>
      </c>
      <c r="D140" s="14" t="s">
        <v>607</v>
      </c>
      <c r="E140" s="41" t="s">
        <v>702</v>
      </c>
      <c r="F140" s="14">
        <v>19892012884</v>
      </c>
      <c r="G140" s="15">
        <v>18802072159</v>
      </c>
      <c r="H140" s="15">
        <v>19538898537</v>
      </c>
      <c r="I140" s="14" t="s">
        <v>58</v>
      </c>
      <c r="J140" s="15">
        <v>2022080009</v>
      </c>
      <c r="K140" s="16" t="s">
        <v>205</v>
      </c>
      <c r="L140" s="14" t="s">
        <v>59</v>
      </c>
      <c r="M140" s="14" t="s">
        <v>206</v>
      </c>
      <c r="N140" s="14" t="s">
        <v>352</v>
      </c>
      <c r="O140" s="15">
        <v>2022</v>
      </c>
      <c r="P140" s="15" t="s">
        <v>41</v>
      </c>
      <c r="Q140" s="15" t="s">
        <v>703</v>
      </c>
      <c r="R140" s="15" t="s">
        <v>63</v>
      </c>
      <c r="S140" s="15" t="s">
        <v>704</v>
      </c>
      <c r="T140" s="15">
        <v>426100</v>
      </c>
      <c r="U140" s="15" t="s">
        <v>45</v>
      </c>
      <c r="V140" s="15" t="s">
        <v>58</v>
      </c>
      <c r="W140" s="15" t="s">
        <v>46</v>
      </c>
      <c r="X140" s="15" t="s">
        <v>74</v>
      </c>
      <c r="Y140" s="15" t="s">
        <v>132</v>
      </c>
      <c r="Z140" s="15" t="s">
        <v>49</v>
      </c>
      <c r="AA140" s="15" t="s">
        <v>50</v>
      </c>
      <c r="AB140" s="15" t="s">
        <v>51</v>
      </c>
      <c r="AC140" s="15" t="s">
        <v>52</v>
      </c>
      <c r="AD140" s="15" t="s">
        <v>53</v>
      </c>
      <c r="AE140" s="15" t="s">
        <v>54</v>
      </c>
      <c r="AF140" s="15" t="s">
        <v>55</v>
      </c>
      <c r="AG140" s="15"/>
      <c r="AH140" s="14" t="str">
        <f>VLOOKUP(B140,[1]Sheet1!$A$2:$F$294,6,FALSE)</f>
        <v>无</v>
      </c>
      <c r="AI140" s="14">
        <f>VLOOKUP(B140,[1]Sheet1!$A$2:$F$294,4,FALSE)</f>
        <v>0</v>
      </c>
      <c r="AJ140" s="14" t="str">
        <f>VLOOKUP(B140,[1]Sheet1!$A$2:$F$294,5,FALSE)</f>
        <v>无</v>
      </c>
    </row>
    <row r="141" s="2" customFormat="1" ht="14.25" spans="1:36">
      <c r="A141" s="11">
        <v>140</v>
      </c>
      <c r="B141" s="12">
        <v>22408000902</v>
      </c>
      <c r="C141" s="13" t="s">
        <v>705</v>
      </c>
      <c r="D141" s="14" t="s">
        <v>607</v>
      </c>
      <c r="E141" s="41" t="s">
        <v>706</v>
      </c>
      <c r="F141" s="14">
        <v>18153814386</v>
      </c>
      <c r="G141" s="15">
        <v>18873367366</v>
      </c>
      <c r="H141" s="15">
        <v>18153764286</v>
      </c>
      <c r="I141" s="14" t="s">
        <v>36</v>
      </c>
      <c r="J141" s="15">
        <v>2022080009</v>
      </c>
      <c r="K141" s="16" t="s">
        <v>205</v>
      </c>
      <c r="L141" s="14" t="s">
        <v>38</v>
      </c>
      <c r="M141" s="14" t="s">
        <v>39</v>
      </c>
      <c r="N141" s="14" t="s">
        <v>212</v>
      </c>
      <c r="O141" s="15">
        <v>2022</v>
      </c>
      <c r="P141" s="15" t="s">
        <v>41</v>
      </c>
      <c r="Q141" s="15" t="s">
        <v>707</v>
      </c>
      <c r="R141" s="15" t="s">
        <v>63</v>
      </c>
      <c r="S141" s="15" t="s">
        <v>708</v>
      </c>
      <c r="T141" s="15">
        <v>412000</v>
      </c>
      <c r="U141" s="15" t="s">
        <v>45</v>
      </c>
      <c r="V141" s="15" t="s">
        <v>36</v>
      </c>
      <c r="W141" s="15" t="s">
        <v>46</v>
      </c>
      <c r="X141" s="15" t="s">
        <v>74</v>
      </c>
      <c r="Y141" s="15" t="s">
        <v>136</v>
      </c>
      <c r="Z141" s="15" t="s">
        <v>49</v>
      </c>
      <c r="AA141" s="15" t="s">
        <v>100</v>
      </c>
      <c r="AB141" s="15" t="s">
        <v>67</v>
      </c>
      <c r="AC141" s="15" t="s">
        <v>52</v>
      </c>
      <c r="AD141" s="15" t="s">
        <v>53</v>
      </c>
      <c r="AE141" s="15" t="s">
        <v>54</v>
      </c>
      <c r="AF141" s="15" t="s">
        <v>55</v>
      </c>
      <c r="AG141" s="15" t="s">
        <v>709</v>
      </c>
      <c r="AH141" s="14" t="str">
        <f>VLOOKUP(B141,[1]Sheet1!$A$2:$F$294,6,FALSE)</f>
        <v>无</v>
      </c>
      <c r="AI141" s="14">
        <f>VLOOKUP(B141,[1]Sheet1!$A$2:$F$294,4,FALSE)</f>
        <v>3</v>
      </c>
      <c r="AJ141" s="14" t="str">
        <f>VLOOKUP(B141,[1]Sheet1!$A$2:$F$294,5,FALSE)</f>
        <v>Linux网络应用综合实践,网络编程课程设计,面向过程程序设计(C语言)</v>
      </c>
    </row>
    <row r="142" s="2" customFormat="1" ht="14.25" spans="1:36">
      <c r="A142" s="11">
        <v>141</v>
      </c>
      <c r="B142" s="12">
        <v>22408000903</v>
      </c>
      <c r="C142" s="13" t="s">
        <v>710</v>
      </c>
      <c r="D142" s="14" t="s">
        <v>607</v>
      </c>
      <c r="E142" s="41" t="s">
        <v>711</v>
      </c>
      <c r="F142" s="14">
        <v>13471954835</v>
      </c>
      <c r="G142" s="15">
        <v>13690830639</v>
      </c>
      <c r="H142" s="15">
        <v>13690709873</v>
      </c>
      <c r="I142" s="14" t="s">
        <v>58</v>
      </c>
      <c r="J142" s="15">
        <v>2022080009</v>
      </c>
      <c r="K142" s="16" t="s">
        <v>205</v>
      </c>
      <c r="L142" s="14" t="s">
        <v>59</v>
      </c>
      <c r="M142" s="14" t="s">
        <v>206</v>
      </c>
      <c r="N142" s="14" t="s">
        <v>352</v>
      </c>
      <c r="O142" s="15">
        <v>2022</v>
      </c>
      <c r="P142" s="15" t="s">
        <v>41</v>
      </c>
      <c r="Q142" s="15" t="s">
        <v>712</v>
      </c>
      <c r="R142" s="15" t="s">
        <v>63</v>
      </c>
      <c r="S142" s="15" t="s">
        <v>713</v>
      </c>
      <c r="T142" s="15">
        <v>542800</v>
      </c>
      <c r="U142" s="15" t="s">
        <v>714</v>
      </c>
      <c r="V142" s="15" t="s">
        <v>58</v>
      </c>
      <c r="W142" s="15" t="s">
        <v>46</v>
      </c>
      <c r="X142" s="15" t="s">
        <v>74</v>
      </c>
      <c r="Y142" s="15" t="s">
        <v>132</v>
      </c>
      <c r="Z142" s="15" t="s">
        <v>49</v>
      </c>
      <c r="AA142" s="15" t="s">
        <v>50</v>
      </c>
      <c r="AB142" s="15" t="s">
        <v>67</v>
      </c>
      <c r="AC142" s="15" t="s">
        <v>52</v>
      </c>
      <c r="AD142" s="15" t="s">
        <v>53</v>
      </c>
      <c r="AE142" s="15" t="s">
        <v>54</v>
      </c>
      <c r="AF142" s="15" t="s">
        <v>55</v>
      </c>
      <c r="AG142" s="15"/>
      <c r="AH142" s="14" t="str">
        <f>VLOOKUP(B142,[1]Sheet1!$A$2:$F$294,6,FALSE)</f>
        <v>无</v>
      </c>
      <c r="AI142" s="14">
        <f>VLOOKUP(B142,[1]Sheet1!$A$2:$F$294,4,FALSE)</f>
        <v>0</v>
      </c>
      <c r="AJ142" s="14" t="str">
        <f>VLOOKUP(B142,[1]Sheet1!$A$2:$F$294,5,FALSE)</f>
        <v>无</v>
      </c>
    </row>
    <row r="143" s="2" customFormat="1" ht="14.25" spans="1:36">
      <c r="A143" s="11">
        <v>142</v>
      </c>
      <c r="B143" s="12">
        <v>22408000905</v>
      </c>
      <c r="C143" s="13" t="s">
        <v>715</v>
      </c>
      <c r="D143" s="14" t="s">
        <v>607</v>
      </c>
      <c r="E143" s="15" t="s">
        <v>716</v>
      </c>
      <c r="F143" s="14">
        <v>18574671530</v>
      </c>
      <c r="G143" s="15">
        <v>15818339249</v>
      </c>
      <c r="H143" s="15">
        <v>18819115985</v>
      </c>
      <c r="I143" s="14" t="s">
        <v>58</v>
      </c>
      <c r="J143" s="15">
        <v>2022080009</v>
      </c>
      <c r="K143" s="16" t="s">
        <v>205</v>
      </c>
      <c r="L143" s="14" t="s">
        <v>59</v>
      </c>
      <c r="M143" s="14" t="s">
        <v>206</v>
      </c>
      <c r="N143" s="14" t="s">
        <v>207</v>
      </c>
      <c r="O143" s="15">
        <v>2022</v>
      </c>
      <c r="P143" s="15" t="s">
        <v>41</v>
      </c>
      <c r="Q143" s="15" t="s">
        <v>717</v>
      </c>
      <c r="R143" s="15" t="s">
        <v>43</v>
      </c>
      <c r="S143" s="15" t="s">
        <v>718</v>
      </c>
      <c r="T143" s="15">
        <v>523220</v>
      </c>
      <c r="U143" s="15" t="s">
        <v>45</v>
      </c>
      <c r="V143" s="15" t="s">
        <v>58</v>
      </c>
      <c r="W143" s="15" t="s">
        <v>46</v>
      </c>
      <c r="X143" s="15" t="s">
        <v>47</v>
      </c>
      <c r="Y143" s="15" t="s">
        <v>132</v>
      </c>
      <c r="Z143" s="15" t="s">
        <v>49</v>
      </c>
      <c r="AA143" s="15" t="s">
        <v>50</v>
      </c>
      <c r="AB143" s="15" t="s">
        <v>67</v>
      </c>
      <c r="AC143" s="15" t="s">
        <v>52</v>
      </c>
      <c r="AD143" s="15" t="s">
        <v>53</v>
      </c>
      <c r="AE143" s="15" t="s">
        <v>54</v>
      </c>
      <c r="AF143" s="15" t="s">
        <v>55</v>
      </c>
      <c r="AG143" s="15"/>
      <c r="AH143" s="14" t="str">
        <f>VLOOKUP(B143,[1]Sheet1!$A$2:$F$294,6,FALSE)</f>
        <v>特别困难</v>
      </c>
      <c r="AI143" s="14">
        <f>VLOOKUP(B143,[1]Sheet1!$A$2:$F$294,4,FALSE)</f>
        <v>0</v>
      </c>
      <c r="AJ143" s="14" t="str">
        <f>VLOOKUP(B143,[1]Sheet1!$A$2:$F$294,5,FALSE)</f>
        <v>无</v>
      </c>
    </row>
    <row r="144" s="2" customFormat="1" ht="14.25" spans="1:36">
      <c r="A144" s="11">
        <v>143</v>
      </c>
      <c r="B144" s="12">
        <v>22408000918</v>
      </c>
      <c r="C144" s="13" t="s">
        <v>719</v>
      </c>
      <c r="D144" s="14" t="s">
        <v>607</v>
      </c>
      <c r="E144" s="41" t="s">
        <v>720</v>
      </c>
      <c r="F144" s="14">
        <v>19973443742</v>
      </c>
      <c r="G144" s="15">
        <v>19152308588</v>
      </c>
      <c r="H144" s="15">
        <v>18974746235</v>
      </c>
      <c r="I144" s="14" t="s">
        <v>36</v>
      </c>
      <c r="J144" s="15">
        <v>2022080009</v>
      </c>
      <c r="K144" s="16" t="s">
        <v>205</v>
      </c>
      <c r="L144" s="14" t="s">
        <v>38</v>
      </c>
      <c r="M144" s="14" t="s">
        <v>39</v>
      </c>
      <c r="N144" s="14" t="s">
        <v>721</v>
      </c>
      <c r="O144" s="15">
        <v>2022</v>
      </c>
      <c r="P144" s="15" t="s">
        <v>41</v>
      </c>
      <c r="Q144" s="15" t="s">
        <v>722</v>
      </c>
      <c r="R144" s="15" t="s">
        <v>43</v>
      </c>
      <c r="S144" s="15" t="s">
        <v>723</v>
      </c>
      <c r="T144" s="15">
        <v>421800</v>
      </c>
      <c r="U144" s="15" t="s">
        <v>45</v>
      </c>
      <c r="V144" s="15" t="s">
        <v>36</v>
      </c>
      <c r="W144" s="15" t="s">
        <v>46</v>
      </c>
      <c r="X144" s="15" t="s">
        <v>74</v>
      </c>
      <c r="Y144" s="15" t="s">
        <v>136</v>
      </c>
      <c r="Z144" s="15" t="s">
        <v>49</v>
      </c>
      <c r="AA144" s="15" t="s">
        <v>50</v>
      </c>
      <c r="AB144" s="15" t="s">
        <v>67</v>
      </c>
      <c r="AC144" s="15" t="s">
        <v>52</v>
      </c>
      <c r="AD144" s="15" t="s">
        <v>53</v>
      </c>
      <c r="AE144" s="15" t="s">
        <v>54</v>
      </c>
      <c r="AF144" s="15" t="s">
        <v>55</v>
      </c>
      <c r="AG144" s="15"/>
      <c r="AH144" s="14" t="str">
        <f>VLOOKUP(B144,[1]Sheet1!$A$2:$F$294,6,FALSE)</f>
        <v>困难</v>
      </c>
      <c r="AI144" s="14">
        <f>VLOOKUP(B144,[1]Sheet1!$A$2:$F$294,4,FALSE)</f>
        <v>0</v>
      </c>
      <c r="AJ144" s="14" t="str">
        <f>VLOOKUP(B144,[1]Sheet1!$A$2:$F$294,5,FALSE)</f>
        <v>无</v>
      </c>
    </row>
    <row r="145" s="2" customFormat="1" ht="14.25" spans="1:36">
      <c r="A145" s="11">
        <v>144</v>
      </c>
      <c r="B145" s="12">
        <v>22408000920</v>
      </c>
      <c r="C145" s="13" t="s">
        <v>724</v>
      </c>
      <c r="D145" s="14" t="s">
        <v>607</v>
      </c>
      <c r="E145" s="41" t="s">
        <v>725</v>
      </c>
      <c r="F145" s="14">
        <v>17809995592</v>
      </c>
      <c r="G145" s="15">
        <v>15886985544</v>
      </c>
      <c r="H145" s="15">
        <v>13289999665</v>
      </c>
      <c r="I145" s="14" t="s">
        <v>36</v>
      </c>
      <c r="J145" s="15">
        <v>2022080009</v>
      </c>
      <c r="K145" s="16" t="s">
        <v>205</v>
      </c>
      <c r="L145" s="14" t="s">
        <v>38</v>
      </c>
      <c r="M145" s="14" t="s">
        <v>39</v>
      </c>
      <c r="N145" s="14" t="s">
        <v>721</v>
      </c>
      <c r="O145" s="15">
        <v>2022</v>
      </c>
      <c r="P145" s="15" t="s">
        <v>511</v>
      </c>
      <c r="Q145" s="15" t="s">
        <v>726</v>
      </c>
      <c r="R145" s="15" t="s">
        <v>63</v>
      </c>
      <c r="S145" s="15" t="s">
        <v>727</v>
      </c>
      <c r="T145" s="15">
        <v>833200</v>
      </c>
      <c r="U145" s="15" t="s">
        <v>333</v>
      </c>
      <c r="V145" s="15" t="s">
        <v>36</v>
      </c>
      <c r="W145" s="15" t="s">
        <v>728</v>
      </c>
      <c r="X145" s="15" t="s">
        <v>47</v>
      </c>
      <c r="Y145" s="15" t="s">
        <v>136</v>
      </c>
      <c r="Z145" s="15" t="s">
        <v>49</v>
      </c>
      <c r="AA145" s="15" t="s">
        <v>50</v>
      </c>
      <c r="AB145" s="15" t="s">
        <v>67</v>
      </c>
      <c r="AC145" s="15" t="s">
        <v>52</v>
      </c>
      <c r="AD145" s="15" t="s">
        <v>53</v>
      </c>
      <c r="AE145" s="15" t="s">
        <v>54</v>
      </c>
      <c r="AF145" s="15" t="s">
        <v>55</v>
      </c>
      <c r="AG145" s="15"/>
      <c r="AH145" s="14" t="str">
        <f>VLOOKUP(B145,[1]Sheet1!$A$2:$F$294,6,FALSE)</f>
        <v>一般困难</v>
      </c>
      <c r="AI145" s="14">
        <f>VLOOKUP(B145,[1]Sheet1!$A$2:$F$294,4,FALSE)</f>
        <v>0</v>
      </c>
      <c r="AJ145" s="14" t="str">
        <f>VLOOKUP(B145,[1]Sheet1!$A$2:$F$294,5,FALSE)</f>
        <v>无</v>
      </c>
    </row>
    <row r="146" s="2" customFormat="1" ht="14.25" spans="1:36">
      <c r="A146" s="11">
        <v>145</v>
      </c>
      <c r="B146" s="12">
        <v>22408000938</v>
      </c>
      <c r="C146" s="13" t="s">
        <v>729</v>
      </c>
      <c r="D146" s="14" t="s">
        <v>607</v>
      </c>
      <c r="E146" s="41" t="s">
        <v>730</v>
      </c>
      <c r="F146" s="14">
        <v>18780535323</v>
      </c>
      <c r="G146" s="15">
        <v>13726100001</v>
      </c>
      <c r="H146" s="15">
        <v>18781189979</v>
      </c>
      <c r="I146" s="14" t="s">
        <v>36</v>
      </c>
      <c r="J146" s="15">
        <v>2022080009</v>
      </c>
      <c r="K146" s="16" t="s">
        <v>205</v>
      </c>
      <c r="L146" s="14" t="s">
        <v>38</v>
      </c>
      <c r="M146" s="14" t="s">
        <v>39</v>
      </c>
      <c r="N146" s="14" t="s">
        <v>240</v>
      </c>
      <c r="O146" s="15">
        <v>2022</v>
      </c>
      <c r="P146" s="15" t="s">
        <v>41</v>
      </c>
      <c r="Q146" s="15" t="s">
        <v>731</v>
      </c>
      <c r="R146" s="15" t="s">
        <v>63</v>
      </c>
      <c r="S146" s="15" t="s">
        <v>732</v>
      </c>
      <c r="T146" s="15">
        <v>621000</v>
      </c>
      <c r="U146" s="15" t="s">
        <v>364</v>
      </c>
      <c r="V146" s="15" t="s">
        <v>36</v>
      </c>
      <c r="W146" s="15" t="s">
        <v>46</v>
      </c>
      <c r="X146" s="15" t="s">
        <v>74</v>
      </c>
      <c r="Y146" s="15" t="s">
        <v>136</v>
      </c>
      <c r="Z146" s="15" t="s">
        <v>75</v>
      </c>
      <c r="AA146" s="15" t="s">
        <v>100</v>
      </c>
      <c r="AB146" s="15" t="s">
        <v>612</v>
      </c>
      <c r="AC146" s="15" t="s">
        <v>52</v>
      </c>
      <c r="AD146" s="15" t="s">
        <v>53</v>
      </c>
      <c r="AE146" s="15" t="s">
        <v>54</v>
      </c>
      <c r="AF146" s="15" t="s">
        <v>55</v>
      </c>
      <c r="AG146" s="15"/>
      <c r="AH146" s="14" t="str">
        <f>VLOOKUP(B146,[1]Sheet1!$A$2:$F$294,6,FALSE)</f>
        <v>无</v>
      </c>
      <c r="AI146" s="14">
        <f>VLOOKUP(B146,[1]Sheet1!$A$2:$F$294,4,FALSE)</f>
        <v>0</v>
      </c>
      <c r="AJ146" s="14" t="str">
        <f>VLOOKUP(B146,[1]Sheet1!$A$2:$F$294,5,FALSE)</f>
        <v>无</v>
      </c>
    </row>
    <row r="147" s="2" customFormat="1" ht="14.25" spans="1:36">
      <c r="A147" s="11">
        <v>146</v>
      </c>
      <c r="B147" s="12">
        <v>22408000939</v>
      </c>
      <c r="C147" s="13" t="s">
        <v>733</v>
      </c>
      <c r="D147" s="14" t="s">
        <v>607</v>
      </c>
      <c r="E147" s="41" t="s">
        <v>734</v>
      </c>
      <c r="F147" s="14">
        <v>17680801281</v>
      </c>
      <c r="G147" s="15">
        <v>13027390792</v>
      </c>
      <c r="H147" s="15">
        <v>18573926305</v>
      </c>
      <c r="I147" s="14" t="s">
        <v>58</v>
      </c>
      <c r="J147" s="15">
        <v>2022080009</v>
      </c>
      <c r="K147" s="16" t="s">
        <v>205</v>
      </c>
      <c r="L147" s="14" t="s">
        <v>59</v>
      </c>
      <c r="M147" s="14" t="s">
        <v>206</v>
      </c>
      <c r="N147" s="14" t="s">
        <v>735</v>
      </c>
      <c r="O147" s="15">
        <v>2022</v>
      </c>
      <c r="P147" s="15" t="s">
        <v>41</v>
      </c>
      <c r="Q147" s="15" t="s">
        <v>577</v>
      </c>
      <c r="R147" s="15" t="s">
        <v>63</v>
      </c>
      <c r="S147" s="15" t="s">
        <v>736</v>
      </c>
      <c r="T147" s="15">
        <v>422000</v>
      </c>
      <c r="U147" s="15" t="s">
        <v>45</v>
      </c>
      <c r="V147" s="15" t="s">
        <v>58</v>
      </c>
      <c r="W147" s="15" t="s">
        <v>46</v>
      </c>
      <c r="X147" s="15" t="s">
        <v>74</v>
      </c>
      <c r="Y147" s="15" t="s">
        <v>126</v>
      </c>
      <c r="Z147" s="15" t="s">
        <v>75</v>
      </c>
      <c r="AA147" s="15" t="s">
        <v>160</v>
      </c>
      <c r="AB147" s="15" t="s">
        <v>51</v>
      </c>
      <c r="AC147" s="15" t="s">
        <v>398</v>
      </c>
      <c r="AD147" s="15" t="s">
        <v>53</v>
      </c>
      <c r="AE147" s="15" t="s">
        <v>54</v>
      </c>
      <c r="AF147" s="15" t="s">
        <v>55</v>
      </c>
      <c r="AG147" s="15"/>
      <c r="AH147" s="14" t="str">
        <f>VLOOKUP(B147,[1]Sheet1!$A$2:$F$294,6,FALSE)</f>
        <v>无</v>
      </c>
      <c r="AI147" s="14">
        <f>VLOOKUP(B147,[1]Sheet1!$A$2:$F$294,4,FALSE)</f>
        <v>0</v>
      </c>
      <c r="AJ147" s="14" t="str">
        <f>VLOOKUP(B147,[1]Sheet1!$A$2:$F$294,5,FALSE)</f>
        <v>无</v>
      </c>
    </row>
    <row r="148" s="2" customFormat="1" ht="14.25" spans="1:36">
      <c r="A148" s="11">
        <v>147</v>
      </c>
      <c r="B148" s="12">
        <v>22408000940</v>
      </c>
      <c r="C148" s="13" t="s">
        <v>737</v>
      </c>
      <c r="D148" s="14" t="s">
        <v>607</v>
      </c>
      <c r="E148" s="41" t="s">
        <v>738</v>
      </c>
      <c r="F148" s="14">
        <v>18991393577</v>
      </c>
      <c r="G148" s="15">
        <v>13991399577</v>
      </c>
      <c r="H148" s="15">
        <v>13991182862</v>
      </c>
      <c r="I148" s="14" t="s">
        <v>58</v>
      </c>
      <c r="J148" s="15">
        <v>2022080009</v>
      </c>
      <c r="K148" s="16" t="s">
        <v>205</v>
      </c>
      <c r="L148" s="14" t="s">
        <v>59</v>
      </c>
      <c r="M148" s="14" t="s">
        <v>206</v>
      </c>
      <c r="N148" s="14" t="s">
        <v>735</v>
      </c>
      <c r="O148" s="15">
        <v>2022</v>
      </c>
      <c r="P148" s="15" t="s">
        <v>41</v>
      </c>
      <c r="Q148" s="15" t="s">
        <v>739</v>
      </c>
      <c r="R148" s="15" t="s">
        <v>63</v>
      </c>
      <c r="S148" s="15" t="s">
        <v>740</v>
      </c>
      <c r="T148" s="15">
        <v>710043</v>
      </c>
      <c r="U148" s="15" t="s">
        <v>190</v>
      </c>
      <c r="V148" s="15" t="s">
        <v>58</v>
      </c>
      <c r="W148" s="15" t="s">
        <v>46</v>
      </c>
      <c r="X148" s="15" t="s">
        <v>74</v>
      </c>
      <c r="Y148" s="15" t="s">
        <v>47</v>
      </c>
      <c r="Z148" s="15" t="s">
        <v>75</v>
      </c>
      <c r="AA148" s="15" t="s">
        <v>50</v>
      </c>
      <c r="AB148" s="15" t="s">
        <v>67</v>
      </c>
      <c r="AC148" s="15" t="s">
        <v>52</v>
      </c>
      <c r="AD148" s="15" t="s">
        <v>53</v>
      </c>
      <c r="AE148" s="15" t="s">
        <v>54</v>
      </c>
      <c r="AF148" s="15" t="s">
        <v>55</v>
      </c>
      <c r="AG148" s="15"/>
      <c r="AH148" s="14" t="str">
        <f>VLOOKUP(B148,[1]Sheet1!$A$2:$F$294,6,FALSE)</f>
        <v>困难</v>
      </c>
      <c r="AI148" s="14">
        <f>VLOOKUP(B148,[1]Sheet1!$A$2:$F$294,4,FALSE)</f>
        <v>0</v>
      </c>
      <c r="AJ148" s="14" t="str">
        <f>VLOOKUP(B148,[1]Sheet1!$A$2:$F$294,5,FALSE)</f>
        <v>无</v>
      </c>
    </row>
    <row r="149" s="2" customFormat="1" ht="14.25" spans="1:36">
      <c r="A149" s="11">
        <v>148</v>
      </c>
      <c r="B149" s="12">
        <v>22408000941</v>
      </c>
      <c r="C149" s="13" t="s">
        <v>741</v>
      </c>
      <c r="D149" s="14" t="s">
        <v>607</v>
      </c>
      <c r="E149" s="41" t="s">
        <v>742</v>
      </c>
      <c r="F149" s="14">
        <v>19549591606</v>
      </c>
      <c r="G149" s="15">
        <v>13685394906</v>
      </c>
      <c r="H149" s="15">
        <v>15150926870</v>
      </c>
      <c r="I149" s="14" t="s">
        <v>58</v>
      </c>
      <c r="J149" s="15">
        <v>2022080009</v>
      </c>
      <c r="K149" s="16" t="s">
        <v>205</v>
      </c>
      <c r="L149" s="14" t="s">
        <v>59</v>
      </c>
      <c r="M149" s="14" t="s">
        <v>206</v>
      </c>
      <c r="N149" s="14" t="s">
        <v>735</v>
      </c>
      <c r="O149" s="15">
        <v>2022</v>
      </c>
      <c r="P149" s="15" t="s">
        <v>41</v>
      </c>
      <c r="Q149" s="15" t="s">
        <v>743</v>
      </c>
      <c r="R149" s="15" t="s">
        <v>63</v>
      </c>
      <c r="S149" s="15" t="s">
        <v>744</v>
      </c>
      <c r="T149" s="15">
        <v>222300</v>
      </c>
      <c r="U149" s="15" t="s">
        <v>99</v>
      </c>
      <c r="V149" s="15" t="s">
        <v>58</v>
      </c>
      <c r="W149" s="15" t="s">
        <v>46</v>
      </c>
      <c r="X149" s="15" t="s">
        <v>74</v>
      </c>
      <c r="Y149" s="15" t="s">
        <v>132</v>
      </c>
      <c r="Z149" s="15" t="s">
        <v>49</v>
      </c>
      <c r="AA149" s="15" t="s">
        <v>50</v>
      </c>
      <c r="AB149" s="15" t="s">
        <v>67</v>
      </c>
      <c r="AC149" s="15" t="s">
        <v>52</v>
      </c>
      <c r="AD149" s="15" t="s">
        <v>53</v>
      </c>
      <c r="AE149" s="15" t="s">
        <v>54</v>
      </c>
      <c r="AF149" s="15" t="s">
        <v>55</v>
      </c>
      <c r="AG149" s="15"/>
      <c r="AH149" s="14" t="str">
        <f>VLOOKUP(B149,[1]Sheet1!$A$2:$F$294,6,FALSE)</f>
        <v>无</v>
      </c>
      <c r="AI149" s="14">
        <f>VLOOKUP(B149,[1]Sheet1!$A$2:$F$294,4,FALSE)</f>
        <v>0</v>
      </c>
      <c r="AJ149" s="14" t="str">
        <f>VLOOKUP(B149,[1]Sheet1!$A$2:$F$294,5,FALSE)</f>
        <v>无</v>
      </c>
    </row>
    <row r="150" s="2" customFormat="1" ht="14.25" spans="1:36">
      <c r="A150" s="11">
        <v>149</v>
      </c>
      <c r="B150" s="12">
        <v>22408000401</v>
      </c>
      <c r="C150" s="13" t="s">
        <v>745</v>
      </c>
      <c r="D150" s="14" t="s">
        <v>746</v>
      </c>
      <c r="E150" s="41" t="s">
        <v>747</v>
      </c>
      <c r="F150" s="14">
        <v>17749947425</v>
      </c>
      <c r="G150" s="15">
        <v>13883221788</v>
      </c>
      <c r="H150" s="15">
        <v>13883017218</v>
      </c>
      <c r="I150" s="14" t="s">
        <v>36</v>
      </c>
      <c r="J150" s="15">
        <v>2022080004</v>
      </c>
      <c r="K150" s="16" t="s">
        <v>123</v>
      </c>
      <c r="L150" s="14" t="s">
        <v>38</v>
      </c>
      <c r="M150" s="14" t="s">
        <v>39</v>
      </c>
      <c r="N150" s="14" t="s">
        <v>114</v>
      </c>
      <c r="O150" s="15">
        <v>2022</v>
      </c>
      <c r="P150" s="15" t="s">
        <v>41</v>
      </c>
      <c r="Q150" s="15" t="s">
        <v>748</v>
      </c>
      <c r="R150" s="15" t="s">
        <v>63</v>
      </c>
      <c r="S150" s="15" t="s">
        <v>749</v>
      </c>
      <c r="T150" s="15">
        <v>400050</v>
      </c>
      <c r="U150" s="15" t="s">
        <v>73</v>
      </c>
      <c r="V150" s="15" t="s">
        <v>36</v>
      </c>
      <c r="W150" s="15" t="s">
        <v>46</v>
      </c>
      <c r="X150" s="15" t="s">
        <v>74</v>
      </c>
      <c r="Y150" s="15" t="s">
        <v>47</v>
      </c>
      <c r="Z150" s="15" t="s">
        <v>75</v>
      </c>
      <c r="AA150" s="15" t="s">
        <v>160</v>
      </c>
      <c r="AB150" s="15" t="s">
        <v>612</v>
      </c>
      <c r="AC150" s="15" t="s">
        <v>101</v>
      </c>
      <c r="AD150" s="15" t="s">
        <v>750</v>
      </c>
      <c r="AE150" s="15" t="s">
        <v>148</v>
      </c>
      <c r="AF150" s="15" t="s">
        <v>55</v>
      </c>
      <c r="AG150" s="15" t="s">
        <v>674</v>
      </c>
      <c r="AH150" s="14" t="str">
        <f>VLOOKUP(B150,[1]Sheet1!$A$2:$F$294,6,FALSE)</f>
        <v>无</v>
      </c>
      <c r="AI150" s="14">
        <f>VLOOKUP(B150,[1]Sheet1!$A$2:$F$294,4,FALSE)</f>
        <v>0</v>
      </c>
      <c r="AJ150" s="14" t="str">
        <f>VLOOKUP(B150,[1]Sheet1!$A$2:$F$294,5,FALSE)</f>
        <v>无</v>
      </c>
    </row>
    <row r="151" s="2" customFormat="1" ht="14.25" spans="1:36">
      <c r="A151" s="11">
        <v>150</v>
      </c>
      <c r="B151" s="12">
        <v>22408000403</v>
      </c>
      <c r="C151" s="13" t="s">
        <v>751</v>
      </c>
      <c r="D151" s="14" t="s">
        <v>746</v>
      </c>
      <c r="E151" s="15" t="s">
        <v>752</v>
      </c>
      <c r="F151" s="14">
        <v>15573546721</v>
      </c>
      <c r="G151" s="15" t="s">
        <v>239</v>
      </c>
      <c r="H151" s="15" t="s">
        <v>239</v>
      </c>
      <c r="I151" s="14" t="s">
        <v>58</v>
      </c>
      <c r="J151" s="15">
        <v>2022080004</v>
      </c>
      <c r="K151" s="16" t="s">
        <v>123</v>
      </c>
      <c r="L151" s="14" t="s">
        <v>59</v>
      </c>
      <c r="M151" s="14" t="s">
        <v>60</v>
      </c>
      <c r="N151" s="14" t="s">
        <v>753</v>
      </c>
      <c r="O151" s="15">
        <v>2022</v>
      </c>
      <c r="P151" s="15" t="s">
        <v>41</v>
      </c>
      <c r="Q151" s="15" t="s">
        <v>42</v>
      </c>
      <c r="R151" s="15" t="s">
        <v>43</v>
      </c>
      <c r="S151" s="15" t="s">
        <v>754</v>
      </c>
      <c r="T151" s="15">
        <v>423000</v>
      </c>
      <c r="U151" s="15" t="s">
        <v>45</v>
      </c>
      <c r="V151" s="15" t="s">
        <v>58</v>
      </c>
      <c r="W151" s="15" t="s">
        <v>46</v>
      </c>
      <c r="X151" s="15" t="s">
        <v>47</v>
      </c>
      <c r="Y151" s="15" t="s">
        <v>132</v>
      </c>
      <c r="Z151" s="15" t="s">
        <v>75</v>
      </c>
      <c r="AA151" s="15" t="s">
        <v>160</v>
      </c>
      <c r="AB151" s="15" t="s">
        <v>67</v>
      </c>
      <c r="AC151" s="15" t="s">
        <v>398</v>
      </c>
      <c r="AD151" s="15" t="s">
        <v>53</v>
      </c>
      <c r="AE151" s="15" t="s">
        <v>54</v>
      </c>
      <c r="AF151" s="15" t="s">
        <v>55</v>
      </c>
      <c r="AG151" s="15" t="s">
        <v>755</v>
      </c>
      <c r="AH151" s="14" t="str">
        <f>VLOOKUP(B151,[1]Sheet1!$A$2:$F$294,6,FALSE)</f>
        <v>特别困难</v>
      </c>
      <c r="AI151" s="14">
        <f>VLOOKUP(B151,[1]Sheet1!$A$2:$F$294,4,FALSE)</f>
        <v>0</v>
      </c>
      <c r="AJ151" s="14" t="str">
        <f>VLOOKUP(B151,[1]Sheet1!$A$2:$F$294,5,FALSE)</f>
        <v>无</v>
      </c>
    </row>
    <row r="152" s="2" customFormat="1" ht="14.25" spans="1:36">
      <c r="A152" s="11">
        <v>151</v>
      </c>
      <c r="B152" s="12">
        <v>22408000404</v>
      </c>
      <c r="C152" s="13" t="s">
        <v>756</v>
      </c>
      <c r="D152" s="14" t="s">
        <v>746</v>
      </c>
      <c r="E152" s="41" t="s">
        <v>757</v>
      </c>
      <c r="F152" s="14">
        <v>18084690421</v>
      </c>
      <c r="G152" s="15">
        <v>13976807198</v>
      </c>
      <c r="H152" s="15">
        <v>13976581203</v>
      </c>
      <c r="I152" s="14" t="s">
        <v>58</v>
      </c>
      <c r="J152" s="15">
        <v>2022080004</v>
      </c>
      <c r="K152" s="16" t="s">
        <v>123</v>
      </c>
      <c r="L152" s="14" t="s">
        <v>59</v>
      </c>
      <c r="M152" s="14" t="s">
        <v>60</v>
      </c>
      <c r="N152" s="14" t="s">
        <v>753</v>
      </c>
      <c r="O152" s="15">
        <v>2022</v>
      </c>
      <c r="P152" s="15" t="s">
        <v>41</v>
      </c>
      <c r="Q152" s="15" t="s">
        <v>87</v>
      </c>
      <c r="R152" s="15" t="s">
        <v>43</v>
      </c>
      <c r="S152" s="15" t="s">
        <v>758</v>
      </c>
      <c r="T152" s="15">
        <v>571700</v>
      </c>
      <c r="U152" s="15" t="s">
        <v>87</v>
      </c>
      <c r="V152" s="15" t="s">
        <v>58</v>
      </c>
      <c r="W152" s="15" t="s">
        <v>46</v>
      </c>
      <c r="X152" s="15" t="s">
        <v>74</v>
      </c>
      <c r="Y152" s="15" t="s">
        <v>136</v>
      </c>
      <c r="Z152" s="15" t="s">
        <v>75</v>
      </c>
      <c r="AA152" s="15" t="s">
        <v>50</v>
      </c>
      <c r="AB152" s="15" t="s">
        <v>67</v>
      </c>
      <c r="AC152" s="15" t="s">
        <v>52</v>
      </c>
      <c r="AD152" s="15" t="s">
        <v>53</v>
      </c>
      <c r="AE152" s="15" t="s">
        <v>54</v>
      </c>
      <c r="AF152" s="15" t="s">
        <v>55</v>
      </c>
      <c r="AG152" s="15"/>
      <c r="AH152" s="14" t="str">
        <f>VLOOKUP(B152,[1]Sheet1!$A$2:$F$294,6,FALSE)</f>
        <v>无</v>
      </c>
      <c r="AI152" s="14">
        <f>VLOOKUP(B152,[1]Sheet1!$A$2:$F$294,4,FALSE)</f>
        <v>0</v>
      </c>
      <c r="AJ152" s="14" t="str">
        <f>VLOOKUP(B152,[1]Sheet1!$A$2:$F$294,5,FALSE)</f>
        <v>无</v>
      </c>
    </row>
    <row r="153" s="2" customFormat="1" ht="14.25" spans="1:36">
      <c r="A153" s="11">
        <v>152</v>
      </c>
      <c r="B153" s="12">
        <v>22408000410</v>
      </c>
      <c r="C153" s="13" t="s">
        <v>759</v>
      </c>
      <c r="D153" s="14" t="s">
        <v>746</v>
      </c>
      <c r="E153" s="41" t="s">
        <v>760</v>
      </c>
      <c r="F153" s="14">
        <v>18673329782</v>
      </c>
      <c r="G153" s="15">
        <v>18007459552</v>
      </c>
      <c r="H153" s="15">
        <v>18007455196</v>
      </c>
      <c r="I153" s="14" t="s">
        <v>58</v>
      </c>
      <c r="J153" s="15">
        <v>2022080004</v>
      </c>
      <c r="K153" s="16" t="s">
        <v>123</v>
      </c>
      <c r="L153" s="14" t="s">
        <v>59</v>
      </c>
      <c r="M153" s="14" t="s">
        <v>60</v>
      </c>
      <c r="N153" s="14" t="s">
        <v>761</v>
      </c>
      <c r="O153" s="15">
        <v>2022</v>
      </c>
      <c r="P153" s="15" t="s">
        <v>41</v>
      </c>
      <c r="Q153" s="15" t="s">
        <v>289</v>
      </c>
      <c r="R153" s="15" t="s">
        <v>63</v>
      </c>
      <c r="S153" s="15" t="s">
        <v>762</v>
      </c>
      <c r="T153" s="15">
        <v>419300</v>
      </c>
      <c r="U153" s="15" t="s">
        <v>45</v>
      </c>
      <c r="V153" s="15" t="s">
        <v>58</v>
      </c>
      <c r="W153" s="15" t="s">
        <v>46</v>
      </c>
      <c r="X153" s="15" t="s">
        <v>74</v>
      </c>
      <c r="Y153" s="15" t="s">
        <v>132</v>
      </c>
      <c r="Z153" s="15" t="s">
        <v>49</v>
      </c>
      <c r="AA153" s="15" t="s">
        <v>50</v>
      </c>
      <c r="AB153" s="15" t="s">
        <v>67</v>
      </c>
      <c r="AC153" s="15" t="s">
        <v>52</v>
      </c>
      <c r="AD153" s="15" t="s">
        <v>53</v>
      </c>
      <c r="AE153" s="15" t="s">
        <v>54</v>
      </c>
      <c r="AF153" s="15" t="s">
        <v>55</v>
      </c>
      <c r="AG153" s="15"/>
      <c r="AH153" s="14" t="str">
        <f>VLOOKUP(B153,[1]Sheet1!$A$2:$F$294,6,FALSE)</f>
        <v>无</v>
      </c>
      <c r="AI153" s="14">
        <f>VLOOKUP(B153,[1]Sheet1!$A$2:$F$294,4,FALSE)</f>
        <v>0</v>
      </c>
      <c r="AJ153" s="14" t="str">
        <f>VLOOKUP(B153,[1]Sheet1!$A$2:$F$294,5,FALSE)</f>
        <v>无</v>
      </c>
    </row>
    <row r="154" s="2" customFormat="1" ht="14.25" spans="1:36">
      <c r="A154" s="11">
        <v>153</v>
      </c>
      <c r="B154" s="12">
        <v>22408000411</v>
      </c>
      <c r="C154" s="13" t="s">
        <v>763</v>
      </c>
      <c r="D154" s="14" t="s">
        <v>746</v>
      </c>
      <c r="E154" s="41" t="s">
        <v>764</v>
      </c>
      <c r="F154" s="14">
        <v>19915475246</v>
      </c>
      <c r="G154" s="15">
        <v>13530665847</v>
      </c>
      <c r="H154" s="15">
        <v>18728373151</v>
      </c>
      <c r="I154" s="14" t="s">
        <v>36</v>
      </c>
      <c r="J154" s="15">
        <v>2022080004</v>
      </c>
      <c r="K154" s="16" t="s">
        <v>123</v>
      </c>
      <c r="L154" s="14" t="s">
        <v>38</v>
      </c>
      <c r="M154" s="14" t="s">
        <v>39</v>
      </c>
      <c r="N154" s="14" t="s">
        <v>114</v>
      </c>
      <c r="O154" s="15">
        <v>2022</v>
      </c>
      <c r="P154" s="15" t="s">
        <v>41</v>
      </c>
      <c r="Q154" s="15" t="s">
        <v>765</v>
      </c>
      <c r="R154" s="15" t="s">
        <v>63</v>
      </c>
      <c r="S154" s="15" t="s">
        <v>766</v>
      </c>
      <c r="T154" s="15">
        <v>620599</v>
      </c>
      <c r="U154" s="15" t="s">
        <v>364</v>
      </c>
      <c r="V154" s="15" t="s">
        <v>36</v>
      </c>
      <c r="W154" s="15" t="s">
        <v>46</v>
      </c>
      <c r="X154" s="15" t="s">
        <v>74</v>
      </c>
      <c r="Y154" s="15" t="s">
        <v>47</v>
      </c>
      <c r="Z154" s="15" t="s">
        <v>75</v>
      </c>
      <c r="AA154" s="15" t="s">
        <v>160</v>
      </c>
      <c r="AB154" s="15" t="s">
        <v>612</v>
      </c>
      <c r="AC154" s="15" t="s">
        <v>101</v>
      </c>
      <c r="AD154" s="15" t="s">
        <v>53</v>
      </c>
      <c r="AE154" s="15" t="s">
        <v>54</v>
      </c>
      <c r="AF154" s="15" t="s">
        <v>55</v>
      </c>
      <c r="AG154" s="15"/>
      <c r="AH154" s="14" t="str">
        <f>VLOOKUP(B154,[1]Sheet1!$A$2:$F$294,6,FALSE)</f>
        <v>无</v>
      </c>
      <c r="AI154" s="14">
        <f>VLOOKUP(B154,[1]Sheet1!$A$2:$F$294,4,FALSE)</f>
        <v>1</v>
      </c>
      <c r="AJ154" s="14" t="str">
        <f>VLOOKUP(B154,[1]Sheet1!$A$2:$F$294,5,FALSE)</f>
        <v>网络协议分析</v>
      </c>
    </row>
    <row r="155" s="2" customFormat="1" ht="14.25" spans="1:36">
      <c r="A155" s="11">
        <v>154</v>
      </c>
      <c r="B155" s="12">
        <v>22408000413</v>
      </c>
      <c r="C155" s="13" t="s">
        <v>767</v>
      </c>
      <c r="D155" s="14" t="s">
        <v>746</v>
      </c>
      <c r="E155" s="41" t="s">
        <v>768</v>
      </c>
      <c r="F155" s="14">
        <v>15243579680</v>
      </c>
      <c r="G155" s="15">
        <v>18711587939</v>
      </c>
      <c r="H155" s="15">
        <v>15243571658</v>
      </c>
      <c r="I155" s="14" t="s">
        <v>58</v>
      </c>
      <c r="J155" s="15">
        <v>2022080004</v>
      </c>
      <c r="K155" s="16" t="s">
        <v>123</v>
      </c>
      <c r="L155" s="14" t="s">
        <v>59</v>
      </c>
      <c r="M155" s="14" t="s">
        <v>60</v>
      </c>
      <c r="N155" s="14" t="s">
        <v>124</v>
      </c>
      <c r="O155" s="15">
        <v>2022</v>
      </c>
      <c r="P155" s="15" t="s">
        <v>41</v>
      </c>
      <c r="Q155" s="15" t="s">
        <v>769</v>
      </c>
      <c r="R155" s="15" t="s">
        <v>63</v>
      </c>
      <c r="S155" s="15" t="s">
        <v>770</v>
      </c>
      <c r="T155" s="15">
        <v>423311</v>
      </c>
      <c r="U155" s="15" t="s">
        <v>45</v>
      </c>
      <c r="V155" s="15" t="s">
        <v>58</v>
      </c>
      <c r="W155" s="15" t="s">
        <v>46</v>
      </c>
      <c r="X155" s="15" t="s">
        <v>47</v>
      </c>
      <c r="Y155" s="15" t="s">
        <v>132</v>
      </c>
      <c r="Z155" s="15" t="s">
        <v>49</v>
      </c>
      <c r="AA155" s="15" t="s">
        <v>50</v>
      </c>
      <c r="AB155" s="15" t="s">
        <v>67</v>
      </c>
      <c r="AC155" s="15" t="s">
        <v>52</v>
      </c>
      <c r="AD155" s="15" t="s">
        <v>53</v>
      </c>
      <c r="AE155" s="15" t="s">
        <v>54</v>
      </c>
      <c r="AF155" s="15" t="s">
        <v>55</v>
      </c>
      <c r="AG155" s="15"/>
      <c r="AH155" s="14" t="str">
        <f>VLOOKUP(B155,[1]Sheet1!$A$2:$F$294,6,FALSE)</f>
        <v>困难</v>
      </c>
      <c r="AI155" s="14">
        <f>VLOOKUP(B155,[1]Sheet1!$A$2:$F$294,4,FALSE)</f>
        <v>0</v>
      </c>
      <c r="AJ155" s="14" t="str">
        <f>VLOOKUP(B155,[1]Sheet1!$A$2:$F$294,5,FALSE)</f>
        <v>无</v>
      </c>
    </row>
    <row r="156" s="2" customFormat="1" ht="14.25" spans="1:36">
      <c r="A156" s="11">
        <v>155</v>
      </c>
      <c r="B156" s="12">
        <v>22408000428</v>
      </c>
      <c r="C156" s="13" t="s">
        <v>771</v>
      </c>
      <c r="D156" s="14" t="s">
        <v>746</v>
      </c>
      <c r="E156" s="41" t="s">
        <v>772</v>
      </c>
      <c r="F156" s="14">
        <v>13017167337</v>
      </c>
      <c r="G156" s="15">
        <v>13807340634</v>
      </c>
      <c r="H156" s="15">
        <v>13467346918</v>
      </c>
      <c r="I156" s="14" t="s">
        <v>36</v>
      </c>
      <c r="J156" s="15">
        <v>2022080004</v>
      </c>
      <c r="K156" s="16" t="s">
        <v>123</v>
      </c>
      <c r="L156" s="14" t="s">
        <v>38</v>
      </c>
      <c r="M156" s="14" t="s">
        <v>39</v>
      </c>
      <c r="N156" s="14" t="s">
        <v>773</v>
      </c>
      <c r="O156" s="15">
        <v>2022</v>
      </c>
      <c r="P156" s="15" t="s">
        <v>41</v>
      </c>
      <c r="Q156" s="15" t="s">
        <v>140</v>
      </c>
      <c r="R156" s="15" t="s">
        <v>43</v>
      </c>
      <c r="S156" s="15" t="s">
        <v>774</v>
      </c>
      <c r="T156" s="15">
        <v>421000</v>
      </c>
      <c r="U156" s="15" t="s">
        <v>45</v>
      </c>
      <c r="V156" s="15" t="s">
        <v>36</v>
      </c>
      <c r="W156" s="15" t="s">
        <v>46</v>
      </c>
      <c r="X156" s="15" t="s">
        <v>74</v>
      </c>
      <c r="Y156" s="15" t="s">
        <v>132</v>
      </c>
      <c r="Z156" s="15" t="s">
        <v>49</v>
      </c>
      <c r="AA156" s="15" t="s">
        <v>50</v>
      </c>
      <c r="AB156" s="15" t="s">
        <v>67</v>
      </c>
      <c r="AC156" s="15" t="s">
        <v>52</v>
      </c>
      <c r="AD156" s="15" t="s">
        <v>53</v>
      </c>
      <c r="AE156" s="15" t="s">
        <v>54</v>
      </c>
      <c r="AF156" s="15" t="s">
        <v>55</v>
      </c>
      <c r="AG156" s="15"/>
      <c r="AH156" s="14" t="str">
        <f>VLOOKUP(B156,[1]Sheet1!$A$2:$F$294,6,FALSE)</f>
        <v>无</v>
      </c>
      <c r="AI156" s="14">
        <f>VLOOKUP(B156,[1]Sheet1!$A$2:$F$294,4,FALSE)</f>
        <v>0</v>
      </c>
      <c r="AJ156" s="14" t="str">
        <f>VLOOKUP(B156,[1]Sheet1!$A$2:$F$294,5,FALSE)</f>
        <v>无</v>
      </c>
    </row>
    <row r="157" s="2" customFormat="1" ht="14.25" spans="1:36">
      <c r="A157" s="11">
        <v>156</v>
      </c>
      <c r="B157" s="12">
        <v>22408000601</v>
      </c>
      <c r="C157" s="13" t="s">
        <v>775</v>
      </c>
      <c r="D157" s="14" t="s">
        <v>746</v>
      </c>
      <c r="E157" s="41" t="s">
        <v>776</v>
      </c>
      <c r="F157" s="14">
        <v>18673313505</v>
      </c>
      <c r="G157" s="15">
        <v>18099428915</v>
      </c>
      <c r="H157" s="15">
        <v>18099428925</v>
      </c>
      <c r="I157" s="14" t="s">
        <v>58</v>
      </c>
      <c r="J157" s="15">
        <v>2022080006</v>
      </c>
      <c r="K157" s="16" t="s">
        <v>253</v>
      </c>
      <c r="L157" s="14" t="s">
        <v>59</v>
      </c>
      <c r="M157" s="14" t="s">
        <v>206</v>
      </c>
      <c r="N157" s="14" t="s">
        <v>777</v>
      </c>
      <c r="O157" s="15">
        <v>2022</v>
      </c>
      <c r="P157" s="15" t="s">
        <v>427</v>
      </c>
      <c r="Q157" s="15" t="s">
        <v>778</v>
      </c>
      <c r="R157" s="15" t="s">
        <v>63</v>
      </c>
      <c r="S157" s="15" t="s">
        <v>779</v>
      </c>
      <c r="T157" s="15">
        <v>833200</v>
      </c>
      <c r="U157" s="15" t="s">
        <v>333</v>
      </c>
      <c r="V157" s="15" t="s">
        <v>58</v>
      </c>
      <c r="W157" s="15" t="s">
        <v>427</v>
      </c>
      <c r="X157" s="15" t="s">
        <v>47</v>
      </c>
      <c r="Y157" s="15" t="s">
        <v>257</v>
      </c>
      <c r="Z157" s="15" t="s">
        <v>75</v>
      </c>
      <c r="AA157" s="15" t="s">
        <v>50</v>
      </c>
      <c r="AB157" s="15" t="s">
        <v>67</v>
      </c>
      <c r="AC157" s="15" t="s">
        <v>52</v>
      </c>
      <c r="AD157" s="15" t="s">
        <v>53</v>
      </c>
      <c r="AE157" s="15" t="s">
        <v>54</v>
      </c>
      <c r="AF157" s="15" t="s">
        <v>55</v>
      </c>
      <c r="AG157" s="15"/>
      <c r="AH157" s="14" t="str">
        <f>VLOOKUP(B157,[1]Sheet1!$A$2:$F$294,6,FALSE)</f>
        <v>无</v>
      </c>
      <c r="AI157" s="14">
        <f>VLOOKUP(B157,[1]Sheet1!$A$2:$F$294,4,FALSE)</f>
        <v>0</v>
      </c>
      <c r="AJ157" s="14" t="str">
        <f>VLOOKUP(B157,[1]Sheet1!$A$2:$F$294,5,FALSE)</f>
        <v>无</v>
      </c>
    </row>
    <row r="158" s="2" customFormat="1" ht="14.25" spans="1:36">
      <c r="A158" s="11">
        <v>157</v>
      </c>
      <c r="B158" s="12">
        <v>22408000603</v>
      </c>
      <c r="C158" s="13" t="s">
        <v>780</v>
      </c>
      <c r="D158" s="14" t="s">
        <v>746</v>
      </c>
      <c r="E158" s="41" t="s">
        <v>781</v>
      </c>
      <c r="F158" s="14">
        <v>19873515438</v>
      </c>
      <c r="G158" s="15">
        <v>13975763572</v>
      </c>
      <c r="H158" s="15">
        <v>15197508121</v>
      </c>
      <c r="I158" s="14" t="s">
        <v>58</v>
      </c>
      <c r="J158" s="15">
        <v>2022080006</v>
      </c>
      <c r="K158" s="16" t="s">
        <v>253</v>
      </c>
      <c r="L158" s="14" t="s">
        <v>59</v>
      </c>
      <c r="M158" s="14" t="s">
        <v>206</v>
      </c>
      <c r="N158" s="14" t="s">
        <v>777</v>
      </c>
      <c r="O158" s="15">
        <v>2022</v>
      </c>
      <c r="P158" s="15" t="s">
        <v>41</v>
      </c>
      <c r="Q158" s="15" t="s">
        <v>42</v>
      </c>
      <c r="R158" s="15" t="s">
        <v>63</v>
      </c>
      <c r="S158" s="15" t="s">
        <v>782</v>
      </c>
      <c r="T158" s="15">
        <v>424400</v>
      </c>
      <c r="U158" s="15" t="s">
        <v>45</v>
      </c>
      <c r="V158" s="15" t="s">
        <v>58</v>
      </c>
      <c r="W158" s="15" t="s">
        <v>41</v>
      </c>
      <c r="X158" s="15" t="s">
        <v>74</v>
      </c>
      <c r="Y158" s="15" t="s">
        <v>257</v>
      </c>
      <c r="Z158" s="15" t="s">
        <v>75</v>
      </c>
      <c r="AA158" s="15" t="s">
        <v>50</v>
      </c>
      <c r="AB158" s="15" t="s">
        <v>67</v>
      </c>
      <c r="AC158" s="15" t="s">
        <v>52</v>
      </c>
      <c r="AD158" s="15" t="s">
        <v>53</v>
      </c>
      <c r="AE158" s="15" t="s">
        <v>54</v>
      </c>
      <c r="AF158" s="15" t="s">
        <v>55</v>
      </c>
      <c r="AG158" s="15" t="s">
        <v>244</v>
      </c>
      <c r="AH158" s="14" t="str">
        <f>VLOOKUP(B158,[1]Sheet1!$A$2:$F$294,6,FALSE)</f>
        <v>无</v>
      </c>
      <c r="AI158" s="14">
        <f>VLOOKUP(B158,[1]Sheet1!$A$2:$F$294,4,FALSE)</f>
        <v>2</v>
      </c>
      <c r="AJ158" s="14" t="str">
        <f>VLOOKUP(B158,[1]Sheet1!$A$2:$F$294,5,FALSE)</f>
        <v>Web系统开发,网络协议分析</v>
      </c>
    </row>
    <row r="159" s="2" customFormat="1" ht="14.25" spans="1:36">
      <c r="A159" s="11">
        <v>158</v>
      </c>
      <c r="B159" s="12">
        <v>22408000605</v>
      </c>
      <c r="C159" s="13" t="s">
        <v>783</v>
      </c>
      <c r="D159" s="14" t="s">
        <v>746</v>
      </c>
      <c r="E159" s="41" t="s">
        <v>784</v>
      </c>
      <c r="F159" s="14">
        <v>15367298079</v>
      </c>
      <c r="G159" s="15">
        <v>18898426836</v>
      </c>
      <c r="H159" s="15">
        <v>18824192991</v>
      </c>
      <c r="I159" s="14" t="s">
        <v>36</v>
      </c>
      <c r="J159" s="15">
        <v>2022080006</v>
      </c>
      <c r="K159" s="16" t="s">
        <v>253</v>
      </c>
      <c r="L159" s="14" t="s">
        <v>38</v>
      </c>
      <c r="M159" s="14" t="s">
        <v>39</v>
      </c>
      <c r="N159" s="14" t="s">
        <v>187</v>
      </c>
      <c r="O159" s="15">
        <v>2022</v>
      </c>
      <c r="P159" s="15" t="s">
        <v>41</v>
      </c>
      <c r="Q159" s="15" t="s">
        <v>194</v>
      </c>
      <c r="R159" s="15" t="s">
        <v>63</v>
      </c>
      <c r="S159" s="15" t="s">
        <v>785</v>
      </c>
      <c r="T159" s="15">
        <v>422322</v>
      </c>
      <c r="U159" s="15" t="s">
        <v>45</v>
      </c>
      <c r="V159" s="15" t="s">
        <v>36</v>
      </c>
      <c r="W159" s="15" t="s">
        <v>41</v>
      </c>
      <c r="X159" s="15" t="s">
        <v>74</v>
      </c>
      <c r="Y159" s="15" t="s">
        <v>786</v>
      </c>
      <c r="Z159" s="15" t="s">
        <v>49</v>
      </c>
      <c r="AA159" s="15" t="s">
        <v>100</v>
      </c>
      <c r="AB159" s="15" t="s">
        <v>67</v>
      </c>
      <c r="AC159" s="15" t="s">
        <v>52</v>
      </c>
      <c r="AD159" s="15" t="s">
        <v>53</v>
      </c>
      <c r="AE159" s="15" t="s">
        <v>54</v>
      </c>
      <c r="AF159" s="15" t="s">
        <v>55</v>
      </c>
      <c r="AG159" s="15"/>
      <c r="AH159" s="14" t="str">
        <f>VLOOKUP(B159,[1]Sheet1!$A$2:$F$294,6,FALSE)</f>
        <v>无</v>
      </c>
      <c r="AI159" s="14">
        <f>VLOOKUP(B159,[1]Sheet1!$A$2:$F$294,4,FALSE)</f>
        <v>0</v>
      </c>
      <c r="AJ159" s="14" t="str">
        <f>VLOOKUP(B159,[1]Sheet1!$A$2:$F$294,5,FALSE)</f>
        <v>无</v>
      </c>
    </row>
    <row r="160" s="2" customFormat="1" ht="14.25" spans="1:36">
      <c r="A160" s="11">
        <v>159</v>
      </c>
      <c r="B160" s="12">
        <v>22408000610</v>
      </c>
      <c r="C160" s="13" t="s">
        <v>787</v>
      </c>
      <c r="D160" s="14" t="s">
        <v>746</v>
      </c>
      <c r="E160" s="41" t="s">
        <v>788</v>
      </c>
      <c r="F160" s="14">
        <v>15689578738</v>
      </c>
      <c r="G160" s="15">
        <v>18754905187</v>
      </c>
      <c r="H160" s="15">
        <v>15562915782</v>
      </c>
      <c r="I160" s="14" t="s">
        <v>58</v>
      </c>
      <c r="J160" s="15">
        <v>2022080006</v>
      </c>
      <c r="K160" s="16" t="s">
        <v>253</v>
      </c>
      <c r="L160" s="14" t="s">
        <v>59</v>
      </c>
      <c r="M160" s="14" t="s">
        <v>206</v>
      </c>
      <c r="N160" s="14" t="s">
        <v>254</v>
      </c>
      <c r="O160" s="15">
        <v>2022</v>
      </c>
      <c r="P160" s="15" t="s">
        <v>41</v>
      </c>
      <c r="Q160" s="15" t="s">
        <v>789</v>
      </c>
      <c r="R160" s="15" t="s">
        <v>43</v>
      </c>
      <c r="S160" s="15" t="s">
        <v>790</v>
      </c>
      <c r="T160" s="15">
        <v>273300</v>
      </c>
      <c r="U160" s="15" t="s">
        <v>147</v>
      </c>
      <c r="V160" s="15" t="s">
        <v>58</v>
      </c>
      <c r="W160" s="15" t="s">
        <v>41</v>
      </c>
      <c r="X160" s="15" t="s">
        <v>74</v>
      </c>
      <c r="Y160" s="15" t="s">
        <v>291</v>
      </c>
      <c r="Z160" s="15" t="s">
        <v>49</v>
      </c>
      <c r="AA160" s="15" t="s">
        <v>50</v>
      </c>
      <c r="AB160" s="15" t="s">
        <v>67</v>
      </c>
      <c r="AC160" s="15" t="s">
        <v>52</v>
      </c>
      <c r="AD160" s="15" t="s">
        <v>53</v>
      </c>
      <c r="AE160" s="15" t="s">
        <v>54</v>
      </c>
      <c r="AF160" s="15" t="s">
        <v>55</v>
      </c>
      <c r="AG160" s="15"/>
      <c r="AH160" s="14" t="str">
        <f>VLOOKUP(B160,[1]Sheet1!$A$2:$F$294,6,FALSE)</f>
        <v>无</v>
      </c>
      <c r="AI160" s="14">
        <f>VLOOKUP(B160,[1]Sheet1!$A$2:$F$294,4,FALSE)</f>
        <v>0</v>
      </c>
      <c r="AJ160" s="14" t="str">
        <f>VLOOKUP(B160,[1]Sheet1!$A$2:$F$294,5,FALSE)</f>
        <v>无</v>
      </c>
    </row>
    <row r="161" s="2" customFormat="1" ht="14.25" spans="1:36">
      <c r="A161" s="11">
        <v>160</v>
      </c>
      <c r="B161" s="12">
        <v>22408000612</v>
      </c>
      <c r="C161" s="13" t="s">
        <v>791</v>
      </c>
      <c r="D161" s="14" t="s">
        <v>746</v>
      </c>
      <c r="E161" s="41" t="s">
        <v>792</v>
      </c>
      <c r="F161" s="14">
        <v>16673160890</v>
      </c>
      <c r="G161" s="15">
        <v>18974933581</v>
      </c>
      <c r="H161" s="15">
        <v>18508426966</v>
      </c>
      <c r="I161" s="14" t="s">
        <v>58</v>
      </c>
      <c r="J161" s="15">
        <v>2022080006</v>
      </c>
      <c r="K161" s="16" t="s">
        <v>253</v>
      </c>
      <c r="L161" s="14" t="s">
        <v>59</v>
      </c>
      <c r="M161" s="14" t="s">
        <v>206</v>
      </c>
      <c r="N161" s="14" t="s">
        <v>793</v>
      </c>
      <c r="O161" s="15">
        <v>2022</v>
      </c>
      <c r="P161" s="15" t="s">
        <v>41</v>
      </c>
      <c r="Q161" s="15" t="s">
        <v>794</v>
      </c>
      <c r="R161" s="15" t="s">
        <v>43</v>
      </c>
      <c r="S161" s="15" t="s">
        <v>795</v>
      </c>
      <c r="T161" s="15">
        <v>410007</v>
      </c>
      <c r="U161" s="15" t="s">
        <v>45</v>
      </c>
      <c r="V161" s="15" t="s">
        <v>58</v>
      </c>
      <c r="W161" s="15" t="s">
        <v>41</v>
      </c>
      <c r="X161" s="15" t="s">
        <v>74</v>
      </c>
      <c r="Y161" s="15" t="s">
        <v>257</v>
      </c>
      <c r="Z161" s="15" t="s">
        <v>75</v>
      </c>
      <c r="AA161" s="15" t="s">
        <v>50</v>
      </c>
      <c r="AB161" s="15" t="s">
        <v>67</v>
      </c>
      <c r="AC161" s="15" t="s">
        <v>52</v>
      </c>
      <c r="AD161" s="15" t="s">
        <v>53</v>
      </c>
      <c r="AE161" s="15" t="s">
        <v>54</v>
      </c>
      <c r="AF161" s="15" t="s">
        <v>55</v>
      </c>
      <c r="AG161" s="15"/>
      <c r="AH161" s="14" t="str">
        <f>VLOOKUP(B161,[1]Sheet1!$A$2:$F$294,6,FALSE)</f>
        <v>无</v>
      </c>
      <c r="AI161" s="14">
        <f>VLOOKUP(B161,[1]Sheet1!$A$2:$F$294,4,FALSE)</f>
        <v>0</v>
      </c>
      <c r="AJ161" s="14" t="str">
        <f>VLOOKUP(B161,[1]Sheet1!$A$2:$F$294,5,FALSE)</f>
        <v>无</v>
      </c>
    </row>
    <row r="162" s="2" customFormat="1" ht="14.25" spans="1:36">
      <c r="A162" s="11">
        <v>161</v>
      </c>
      <c r="B162" s="12">
        <v>22408000619</v>
      </c>
      <c r="C162" s="13" t="s">
        <v>796</v>
      </c>
      <c r="D162" s="14" t="s">
        <v>746</v>
      </c>
      <c r="E162" s="15" t="s">
        <v>797</v>
      </c>
      <c r="F162" s="14">
        <v>18374397022</v>
      </c>
      <c r="G162" s="15">
        <v>14786883019</v>
      </c>
      <c r="H162" s="15">
        <v>18374397822</v>
      </c>
      <c r="I162" s="14" t="s">
        <v>58</v>
      </c>
      <c r="J162" s="15">
        <v>2022080006</v>
      </c>
      <c r="K162" s="16" t="s">
        <v>253</v>
      </c>
      <c r="L162" s="14" t="s">
        <v>59</v>
      </c>
      <c r="M162" s="14" t="s">
        <v>206</v>
      </c>
      <c r="N162" s="14" t="s">
        <v>260</v>
      </c>
      <c r="O162" s="15">
        <v>2022</v>
      </c>
      <c r="P162" s="15" t="s">
        <v>434</v>
      </c>
      <c r="Q162" s="15" t="s">
        <v>596</v>
      </c>
      <c r="R162" s="15" t="s">
        <v>63</v>
      </c>
      <c r="S162" s="15" t="s">
        <v>798</v>
      </c>
      <c r="T162" s="15">
        <v>416700</v>
      </c>
      <c r="U162" s="15" t="s">
        <v>45</v>
      </c>
      <c r="V162" s="15" t="s">
        <v>58</v>
      </c>
      <c r="W162" s="15" t="s">
        <v>434</v>
      </c>
      <c r="X162" s="15" t="s">
        <v>47</v>
      </c>
      <c r="Y162" s="15" t="s">
        <v>786</v>
      </c>
      <c r="Z162" s="15" t="s">
        <v>49</v>
      </c>
      <c r="AA162" s="15" t="s">
        <v>50</v>
      </c>
      <c r="AB162" s="15" t="s">
        <v>67</v>
      </c>
      <c r="AC162" s="15" t="s">
        <v>52</v>
      </c>
      <c r="AD162" s="15" t="s">
        <v>53</v>
      </c>
      <c r="AE162" s="15" t="s">
        <v>54</v>
      </c>
      <c r="AF162" s="15" t="s">
        <v>55</v>
      </c>
      <c r="AG162" s="15"/>
      <c r="AH162" s="14" t="str">
        <f>VLOOKUP(B162,[1]Sheet1!$A$2:$F$294,6,FALSE)</f>
        <v>无</v>
      </c>
      <c r="AI162" s="14">
        <f>VLOOKUP(B162,[1]Sheet1!$A$2:$F$294,4,FALSE)</f>
        <v>0</v>
      </c>
      <c r="AJ162" s="14" t="str">
        <f>VLOOKUP(B162,[1]Sheet1!$A$2:$F$294,5,FALSE)</f>
        <v>无</v>
      </c>
    </row>
    <row r="163" s="2" customFormat="1" ht="14.25" spans="1:36">
      <c r="A163" s="11">
        <v>162</v>
      </c>
      <c r="B163" s="12">
        <v>22408000621</v>
      </c>
      <c r="C163" s="13" t="s">
        <v>799</v>
      </c>
      <c r="D163" s="14" t="s">
        <v>746</v>
      </c>
      <c r="E163" s="41" t="s">
        <v>800</v>
      </c>
      <c r="F163" s="14">
        <v>13245711308</v>
      </c>
      <c r="G163" s="15">
        <v>18673938131</v>
      </c>
      <c r="H163" s="15">
        <v>13874294887</v>
      </c>
      <c r="I163" s="14" t="s">
        <v>58</v>
      </c>
      <c r="J163" s="15">
        <v>2022080006</v>
      </c>
      <c r="K163" s="16" t="s">
        <v>253</v>
      </c>
      <c r="L163" s="14" t="s">
        <v>59</v>
      </c>
      <c r="M163" s="14" t="s">
        <v>206</v>
      </c>
      <c r="N163" s="14" t="s">
        <v>272</v>
      </c>
      <c r="O163" s="15">
        <v>2022</v>
      </c>
      <c r="P163" s="15" t="s">
        <v>41</v>
      </c>
      <c r="Q163" s="15" t="s">
        <v>194</v>
      </c>
      <c r="R163" s="15" t="s">
        <v>63</v>
      </c>
      <c r="S163" s="15" t="s">
        <v>801</v>
      </c>
      <c r="T163" s="15">
        <v>422208</v>
      </c>
      <c r="U163" s="15" t="s">
        <v>45</v>
      </c>
      <c r="V163" s="15" t="s">
        <v>58</v>
      </c>
      <c r="W163" s="15" t="s">
        <v>41</v>
      </c>
      <c r="X163" s="15" t="s">
        <v>47</v>
      </c>
      <c r="Y163" s="15" t="s">
        <v>802</v>
      </c>
      <c r="Z163" s="15" t="s">
        <v>49</v>
      </c>
      <c r="AA163" s="15" t="s">
        <v>50</v>
      </c>
      <c r="AB163" s="15" t="s">
        <v>67</v>
      </c>
      <c r="AC163" s="15" t="s">
        <v>52</v>
      </c>
      <c r="AD163" s="15" t="s">
        <v>53</v>
      </c>
      <c r="AE163" s="15" t="s">
        <v>54</v>
      </c>
      <c r="AF163" s="15" t="s">
        <v>55</v>
      </c>
      <c r="AG163" s="15"/>
      <c r="AH163" s="14" t="str">
        <f>VLOOKUP(B163,[1]Sheet1!$A$2:$F$294,6,FALSE)</f>
        <v>无</v>
      </c>
      <c r="AI163" s="14">
        <f>VLOOKUP(B163,[1]Sheet1!$A$2:$F$294,4,FALSE)</f>
        <v>0</v>
      </c>
      <c r="AJ163" s="14" t="str">
        <f>VLOOKUP(B163,[1]Sheet1!$A$2:$F$294,5,FALSE)</f>
        <v>无</v>
      </c>
    </row>
    <row r="164" s="2" customFormat="1" ht="14.25" spans="1:36">
      <c r="A164" s="11">
        <v>163</v>
      </c>
      <c r="B164" s="12">
        <v>22408000622</v>
      </c>
      <c r="C164" s="13" t="s">
        <v>803</v>
      </c>
      <c r="D164" s="14" t="s">
        <v>746</v>
      </c>
      <c r="E164" s="41" t="s">
        <v>804</v>
      </c>
      <c r="F164" s="14">
        <v>15812108457</v>
      </c>
      <c r="G164" s="15">
        <v>15887272264</v>
      </c>
      <c r="H164" s="15">
        <v>13888249254</v>
      </c>
      <c r="I164" s="14" t="s">
        <v>58</v>
      </c>
      <c r="J164" s="15">
        <v>2022080006</v>
      </c>
      <c r="K164" s="16" t="s">
        <v>253</v>
      </c>
      <c r="L164" s="14" t="s">
        <v>59</v>
      </c>
      <c r="M164" s="14" t="s">
        <v>206</v>
      </c>
      <c r="N164" s="14" t="s">
        <v>272</v>
      </c>
      <c r="O164" s="15">
        <v>2022</v>
      </c>
      <c r="P164" s="15" t="s">
        <v>41</v>
      </c>
      <c r="Q164" s="15" t="s">
        <v>492</v>
      </c>
      <c r="R164" s="15" t="s">
        <v>63</v>
      </c>
      <c r="S164" s="15" t="s">
        <v>805</v>
      </c>
      <c r="T164" s="15">
        <v>650600</v>
      </c>
      <c r="U164" s="15" t="s">
        <v>196</v>
      </c>
      <c r="V164" s="15" t="s">
        <v>58</v>
      </c>
      <c r="W164" s="15" t="s">
        <v>41</v>
      </c>
      <c r="X164" s="15" t="s">
        <v>74</v>
      </c>
      <c r="Y164" s="15" t="s">
        <v>291</v>
      </c>
      <c r="Z164" s="15" t="s">
        <v>49</v>
      </c>
      <c r="AA164" s="15" t="s">
        <v>50</v>
      </c>
      <c r="AB164" s="15" t="s">
        <v>67</v>
      </c>
      <c r="AC164" s="15" t="s">
        <v>52</v>
      </c>
      <c r="AD164" s="15" t="s">
        <v>53</v>
      </c>
      <c r="AE164" s="15" t="s">
        <v>54</v>
      </c>
      <c r="AF164" s="15" t="s">
        <v>55</v>
      </c>
      <c r="AG164" s="15" t="s">
        <v>806</v>
      </c>
      <c r="AH164" s="14" t="str">
        <f>VLOOKUP(B164,[1]Sheet1!$A$2:$F$294,6,FALSE)</f>
        <v>无</v>
      </c>
      <c r="AI164" s="14">
        <f>VLOOKUP(B164,[1]Sheet1!$A$2:$F$294,4,FALSE)</f>
        <v>0</v>
      </c>
      <c r="AJ164" s="14" t="str">
        <f>VLOOKUP(B164,[1]Sheet1!$A$2:$F$294,5,FALSE)</f>
        <v>无</v>
      </c>
    </row>
    <row r="165" s="2" customFormat="1" ht="14.25" spans="1:36">
      <c r="A165" s="11">
        <v>164</v>
      </c>
      <c r="B165" s="12">
        <v>22408000641</v>
      </c>
      <c r="C165" s="13" t="s">
        <v>807</v>
      </c>
      <c r="D165" s="14" t="s">
        <v>746</v>
      </c>
      <c r="E165" s="41" t="s">
        <v>808</v>
      </c>
      <c r="F165" s="14">
        <v>18187971034</v>
      </c>
      <c r="G165" s="15">
        <v>19187936062</v>
      </c>
      <c r="H165" s="15">
        <v>15911295540</v>
      </c>
      <c r="I165" s="14" t="s">
        <v>36</v>
      </c>
      <c r="J165" s="15">
        <v>2022080006</v>
      </c>
      <c r="K165" s="16" t="s">
        <v>253</v>
      </c>
      <c r="L165" s="14" t="s">
        <v>38</v>
      </c>
      <c r="M165" s="14" t="s">
        <v>39</v>
      </c>
      <c r="N165" s="14" t="s">
        <v>809</v>
      </c>
      <c r="O165" s="15">
        <v>2022</v>
      </c>
      <c r="P165" s="15" t="s">
        <v>41</v>
      </c>
      <c r="Q165" s="15" t="s">
        <v>810</v>
      </c>
      <c r="R165" s="15" t="s">
        <v>63</v>
      </c>
      <c r="S165" s="15" t="s">
        <v>811</v>
      </c>
      <c r="T165" s="15">
        <v>665000</v>
      </c>
      <c r="U165" s="15" t="s">
        <v>196</v>
      </c>
      <c r="V165" s="15" t="s">
        <v>36</v>
      </c>
      <c r="W165" s="15" t="s">
        <v>41</v>
      </c>
      <c r="X165" s="15" t="s">
        <v>47</v>
      </c>
      <c r="Y165" s="15" t="s">
        <v>786</v>
      </c>
      <c r="Z165" s="15" t="s">
        <v>49</v>
      </c>
      <c r="AA165" s="15" t="s">
        <v>50</v>
      </c>
      <c r="AB165" s="15" t="s">
        <v>67</v>
      </c>
      <c r="AC165" s="15" t="s">
        <v>52</v>
      </c>
      <c r="AD165" s="15" t="s">
        <v>53</v>
      </c>
      <c r="AE165" s="15" t="s">
        <v>54</v>
      </c>
      <c r="AF165" s="15" t="s">
        <v>55</v>
      </c>
      <c r="AG165" s="15" t="s">
        <v>806</v>
      </c>
      <c r="AH165" s="14" t="str">
        <f>VLOOKUP(B165,[1]Sheet1!$A$2:$F$294,6,FALSE)</f>
        <v>无</v>
      </c>
      <c r="AI165" s="14">
        <f>VLOOKUP(B165,[1]Sheet1!$A$2:$F$294,4,FALSE)</f>
        <v>0</v>
      </c>
      <c r="AJ165" s="14" t="str">
        <f>VLOOKUP(B165,[1]Sheet1!$A$2:$F$294,5,FALSE)</f>
        <v>无</v>
      </c>
    </row>
    <row r="166" s="2" customFormat="1" ht="14.25" spans="1:36">
      <c r="A166" s="11">
        <v>165</v>
      </c>
      <c r="B166" s="12">
        <v>22408000703</v>
      </c>
      <c r="C166" s="13" t="s">
        <v>812</v>
      </c>
      <c r="D166" s="14" t="s">
        <v>746</v>
      </c>
      <c r="E166" s="41" t="s">
        <v>813</v>
      </c>
      <c r="F166" s="14">
        <v>15873575082</v>
      </c>
      <c r="G166" s="15">
        <v>15211713106</v>
      </c>
      <c r="H166" s="15">
        <v>15211713106</v>
      </c>
      <c r="I166" s="14" t="s">
        <v>58</v>
      </c>
      <c r="J166" s="15">
        <v>2022080007</v>
      </c>
      <c r="K166" s="16" t="s">
        <v>297</v>
      </c>
      <c r="L166" s="14" t="s">
        <v>59</v>
      </c>
      <c r="M166" s="14" t="s">
        <v>206</v>
      </c>
      <c r="N166" s="14" t="s">
        <v>308</v>
      </c>
      <c r="O166" s="15">
        <v>2022</v>
      </c>
      <c r="P166" s="15" t="s">
        <v>41</v>
      </c>
      <c r="Q166" s="15" t="s">
        <v>42</v>
      </c>
      <c r="R166" s="15" t="s">
        <v>43</v>
      </c>
      <c r="S166" s="15" t="s">
        <v>814</v>
      </c>
      <c r="T166" s="15">
        <v>424100</v>
      </c>
      <c r="U166" s="15" t="s">
        <v>45</v>
      </c>
      <c r="V166" s="15" t="s">
        <v>58</v>
      </c>
      <c r="W166" s="15" t="s">
        <v>41</v>
      </c>
      <c r="X166" s="15" t="s">
        <v>47</v>
      </c>
      <c r="Y166" s="15" t="s">
        <v>291</v>
      </c>
      <c r="Z166" s="15" t="s">
        <v>49</v>
      </c>
      <c r="AA166" s="15" t="s">
        <v>50</v>
      </c>
      <c r="AB166" s="15" t="s">
        <v>67</v>
      </c>
      <c r="AC166" s="15" t="s">
        <v>52</v>
      </c>
      <c r="AD166" s="15" t="s">
        <v>53</v>
      </c>
      <c r="AE166" s="15" t="s">
        <v>54</v>
      </c>
      <c r="AF166" s="15" t="s">
        <v>55</v>
      </c>
      <c r="AG166" s="15"/>
      <c r="AH166" s="14" t="str">
        <f>VLOOKUP(B166,[1]Sheet1!$A$2:$F$294,6,FALSE)</f>
        <v>特别困难</v>
      </c>
      <c r="AI166" s="14">
        <f>VLOOKUP(B166,[1]Sheet1!$A$2:$F$294,4,FALSE)</f>
        <v>0</v>
      </c>
      <c r="AJ166" s="14" t="str">
        <f>VLOOKUP(B166,[1]Sheet1!$A$2:$F$294,5,FALSE)</f>
        <v>无</v>
      </c>
    </row>
    <row r="167" s="2" customFormat="1" ht="14.25" spans="1:36">
      <c r="A167" s="11">
        <v>166</v>
      </c>
      <c r="B167" s="12">
        <v>22408000704</v>
      </c>
      <c r="C167" s="13" t="s">
        <v>815</v>
      </c>
      <c r="D167" s="14" t="s">
        <v>746</v>
      </c>
      <c r="E167" s="41" t="s">
        <v>816</v>
      </c>
      <c r="F167" s="14">
        <v>19958324306</v>
      </c>
      <c r="G167" s="15">
        <v>13427704688</v>
      </c>
      <c r="H167" s="15">
        <v>18273376568</v>
      </c>
      <c r="I167" s="14" t="s">
        <v>36</v>
      </c>
      <c r="J167" s="15">
        <v>2022080007</v>
      </c>
      <c r="K167" s="16" t="s">
        <v>297</v>
      </c>
      <c r="L167" s="14" t="s">
        <v>38</v>
      </c>
      <c r="M167" s="14" t="s">
        <v>39</v>
      </c>
      <c r="N167" s="14" t="s">
        <v>809</v>
      </c>
      <c r="O167" s="15">
        <v>2022</v>
      </c>
      <c r="P167" s="15" t="s">
        <v>41</v>
      </c>
      <c r="Q167" s="15" t="s">
        <v>817</v>
      </c>
      <c r="R167" s="15" t="s">
        <v>63</v>
      </c>
      <c r="S167" s="15" t="s">
        <v>818</v>
      </c>
      <c r="T167" s="15">
        <v>412200</v>
      </c>
      <c r="U167" s="15" t="s">
        <v>45</v>
      </c>
      <c r="V167" s="15" t="s">
        <v>36</v>
      </c>
      <c r="W167" s="15" t="s">
        <v>41</v>
      </c>
      <c r="X167" s="15" t="s">
        <v>47</v>
      </c>
      <c r="Y167" s="15" t="s">
        <v>291</v>
      </c>
      <c r="Z167" s="15" t="s">
        <v>49</v>
      </c>
      <c r="AA167" s="15" t="s">
        <v>100</v>
      </c>
      <c r="AB167" s="15" t="s">
        <v>67</v>
      </c>
      <c r="AC167" s="15" t="s">
        <v>52</v>
      </c>
      <c r="AD167" s="15" t="s">
        <v>53</v>
      </c>
      <c r="AE167" s="15" t="s">
        <v>54</v>
      </c>
      <c r="AF167" s="15" t="s">
        <v>55</v>
      </c>
      <c r="AG167" s="15"/>
      <c r="AH167" s="14" t="str">
        <f>VLOOKUP(B167,[1]Sheet1!$A$2:$F$294,6,FALSE)</f>
        <v>无</v>
      </c>
      <c r="AI167" s="14">
        <f>VLOOKUP(B167,[1]Sheet1!$A$2:$F$294,4,FALSE)</f>
        <v>0</v>
      </c>
      <c r="AJ167" s="14" t="str">
        <f>VLOOKUP(B167,[1]Sheet1!$A$2:$F$294,5,FALSE)</f>
        <v>无</v>
      </c>
    </row>
    <row r="168" s="2" customFormat="1" ht="14.25" spans="1:36">
      <c r="A168" s="11">
        <v>167</v>
      </c>
      <c r="B168" s="12">
        <v>22408000706</v>
      </c>
      <c r="C168" s="13" t="s">
        <v>819</v>
      </c>
      <c r="D168" s="14" t="s">
        <v>746</v>
      </c>
      <c r="E168" s="41" t="s">
        <v>820</v>
      </c>
      <c r="F168" s="14">
        <v>17873467355</v>
      </c>
      <c r="G168" s="15">
        <v>15211713106</v>
      </c>
      <c r="H168" s="15">
        <v>15873575062</v>
      </c>
      <c r="I168" s="14" t="s">
        <v>58</v>
      </c>
      <c r="J168" s="15">
        <v>2022080007</v>
      </c>
      <c r="K168" s="16" t="s">
        <v>297</v>
      </c>
      <c r="L168" s="14" t="s">
        <v>59</v>
      </c>
      <c r="M168" s="14" t="s">
        <v>206</v>
      </c>
      <c r="N168" s="14" t="s">
        <v>308</v>
      </c>
      <c r="O168" s="15">
        <v>2022</v>
      </c>
      <c r="P168" s="15" t="s">
        <v>41</v>
      </c>
      <c r="Q168" s="15" t="s">
        <v>140</v>
      </c>
      <c r="R168" s="15" t="s">
        <v>43</v>
      </c>
      <c r="S168" s="15" t="s">
        <v>821</v>
      </c>
      <c r="T168" s="15">
        <v>421002</v>
      </c>
      <c r="U168" s="15" t="s">
        <v>45</v>
      </c>
      <c r="V168" s="15" t="s">
        <v>58</v>
      </c>
      <c r="W168" s="15" t="s">
        <v>41</v>
      </c>
      <c r="X168" s="15" t="s">
        <v>74</v>
      </c>
      <c r="Y168" s="15" t="s">
        <v>257</v>
      </c>
      <c r="Z168" s="15" t="s">
        <v>49</v>
      </c>
      <c r="AA168" s="15" t="s">
        <v>50</v>
      </c>
      <c r="AB168" s="15" t="s">
        <v>67</v>
      </c>
      <c r="AC168" s="15" t="s">
        <v>52</v>
      </c>
      <c r="AD168" s="15" t="s">
        <v>53</v>
      </c>
      <c r="AE168" s="15" t="s">
        <v>54</v>
      </c>
      <c r="AF168" s="15" t="s">
        <v>55</v>
      </c>
      <c r="AG168" s="15"/>
      <c r="AH168" s="14" t="str">
        <f>VLOOKUP(B168,[1]Sheet1!$A$2:$F$294,6,FALSE)</f>
        <v>无</v>
      </c>
      <c r="AI168" s="14">
        <f>VLOOKUP(B168,[1]Sheet1!$A$2:$F$294,4,FALSE)</f>
        <v>0</v>
      </c>
      <c r="AJ168" s="14" t="str">
        <f>VLOOKUP(B168,[1]Sheet1!$A$2:$F$294,5,FALSE)</f>
        <v>无</v>
      </c>
    </row>
    <row r="169" s="2" customFormat="1" ht="14.25" spans="1:36">
      <c r="A169" s="11">
        <v>168</v>
      </c>
      <c r="B169" s="12">
        <v>22408000709</v>
      </c>
      <c r="C169" s="13" t="s">
        <v>822</v>
      </c>
      <c r="D169" s="14" t="s">
        <v>746</v>
      </c>
      <c r="E169" s="41" t="s">
        <v>823</v>
      </c>
      <c r="F169" s="14">
        <v>15274637731</v>
      </c>
      <c r="G169" s="15">
        <v>18374779323</v>
      </c>
      <c r="H169" s="15">
        <v>19330358817</v>
      </c>
      <c r="I169" s="14" t="s">
        <v>58</v>
      </c>
      <c r="J169" s="15">
        <v>2022080007</v>
      </c>
      <c r="K169" s="16" t="s">
        <v>297</v>
      </c>
      <c r="L169" s="14" t="s">
        <v>59</v>
      </c>
      <c r="M169" s="14" t="s">
        <v>206</v>
      </c>
      <c r="N169" s="14" t="s">
        <v>824</v>
      </c>
      <c r="O169" s="15">
        <v>2022</v>
      </c>
      <c r="P169" s="15" t="s">
        <v>41</v>
      </c>
      <c r="Q169" s="15" t="s">
        <v>825</v>
      </c>
      <c r="R169" s="15" t="s">
        <v>63</v>
      </c>
      <c r="S169" s="15" t="s">
        <v>826</v>
      </c>
      <c r="T169" s="15">
        <v>425700</v>
      </c>
      <c r="U169" s="15" t="s">
        <v>45</v>
      </c>
      <c r="V169" s="15" t="s">
        <v>58</v>
      </c>
      <c r="W169" s="15" t="s">
        <v>41</v>
      </c>
      <c r="X169" s="15" t="s">
        <v>74</v>
      </c>
      <c r="Y169" s="15" t="s">
        <v>47</v>
      </c>
      <c r="Z169" s="15" t="s">
        <v>75</v>
      </c>
      <c r="AA169" s="15" t="s">
        <v>160</v>
      </c>
      <c r="AB169" s="15" t="s">
        <v>67</v>
      </c>
      <c r="AC169" s="15" t="s">
        <v>101</v>
      </c>
      <c r="AD169" s="15" t="s">
        <v>53</v>
      </c>
      <c r="AE169" s="15" t="s">
        <v>54</v>
      </c>
      <c r="AF169" s="15" t="s">
        <v>55</v>
      </c>
      <c r="AG169" s="15"/>
      <c r="AH169" s="14" t="str">
        <f>VLOOKUP(B169,[1]Sheet1!$A$2:$F$294,6,FALSE)</f>
        <v>无</v>
      </c>
      <c r="AI169" s="14">
        <f>VLOOKUP(B169,[1]Sheet1!$A$2:$F$294,4,FALSE)</f>
        <v>0</v>
      </c>
      <c r="AJ169" s="14" t="str">
        <f>VLOOKUP(B169,[1]Sheet1!$A$2:$F$294,5,FALSE)</f>
        <v>无</v>
      </c>
    </row>
    <row r="170" s="2" customFormat="1" ht="14.25" spans="1:36">
      <c r="A170" s="11">
        <v>169</v>
      </c>
      <c r="B170" s="12">
        <v>22408000712</v>
      </c>
      <c r="C170" s="13" t="s">
        <v>827</v>
      </c>
      <c r="D170" s="14" t="s">
        <v>746</v>
      </c>
      <c r="E170" s="41" t="s">
        <v>828</v>
      </c>
      <c r="F170" s="14">
        <v>17329206079</v>
      </c>
      <c r="G170" s="15">
        <v>18274670428</v>
      </c>
      <c r="H170" s="15">
        <v>18472648768</v>
      </c>
      <c r="I170" s="14" t="s">
        <v>58</v>
      </c>
      <c r="J170" s="15">
        <v>2022080007</v>
      </c>
      <c r="K170" s="16" t="s">
        <v>297</v>
      </c>
      <c r="L170" s="14" t="s">
        <v>59</v>
      </c>
      <c r="M170" s="14" t="s">
        <v>206</v>
      </c>
      <c r="N170" s="14" t="s">
        <v>829</v>
      </c>
      <c r="O170" s="15">
        <v>2022</v>
      </c>
      <c r="P170" s="15" t="s">
        <v>41</v>
      </c>
      <c r="Q170" s="15" t="s">
        <v>830</v>
      </c>
      <c r="R170" s="15" t="s">
        <v>63</v>
      </c>
      <c r="S170" s="15" t="s">
        <v>831</v>
      </c>
      <c r="T170" s="15">
        <v>476600</v>
      </c>
      <c r="U170" s="15" t="s">
        <v>202</v>
      </c>
      <c r="V170" s="15" t="s">
        <v>58</v>
      </c>
      <c r="W170" s="15" t="s">
        <v>41</v>
      </c>
      <c r="X170" s="15" t="s">
        <v>74</v>
      </c>
      <c r="Y170" s="15" t="s">
        <v>257</v>
      </c>
      <c r="Z170" s="15" t="s">
        <v>75</v>
      </c>
      <c r="AA170" s="15" t="s">
        <v>50</v>
      </c>
      <c r="AB170" s="15" t="s">
        <v>67</v>
      </c>
      <c r="AC170" s="15" t="s">
        <v>52</v>
      </c>
      <c r="AD170" s="15" t="s">
        <v>53</v>
      </c>
      <c r="AE170" s="15" t="s">
        <v>54</v>
      </c>
      <c r="AF170" s="15" t="s">
        <v>55</v>
      </c>
      <c r="AG170" s="15"/>
      <c r="AH170" s="14" t="str">
        <f>VLOOKUP(B170,[1]Sheet1!$A$2:$F$294,6,FALSE)</f>
        <v>无</v>
      </c>
      <c r="AI170" s="14">
        <f>VLOOKUP(B170,[1]Sheet1!$A$2:$F$294,4,FALSE)</f>
        <v>0</v>
      </c>
      <c r="AJ170" s="14" t="str">
        <f>VLOOKUP(B170,[1]Sheet1!$A$2:$F$294,5,FALSE)</f>
        <v>无</v>
      </c>
    </row>
    <row r="171" s="2" customFormat="1" ht="14.25" spans="1:36">
      <c r="A171" s="11">
        <v>170</v>
      </c>
      <c r="B171" s="12">
        <v>22408000713</v>
      </c>
      <c r="C171" s="13" t="s">
        <v>832</v>
      </c>
      <c r="D171" s="14" t="s">
        <v>746</v>
      </c>
      <c r="E171" s="15" t="s">
        <v>833</v>
      </c>
      <c r="F171" s="14">
        <v>19373967912</v>
      </c>
      <c r="G171" s="15">
        <v>18899815689</v>
      </c>
      <c r="H171" s="15">
        <v>13972862886</v>
      </c>
      <c r="I171" s="14" t="s">
        <v>58</v>
      </c>
      <c r="J171" s="15">
        <v>2022080007</v>
      </c>
      <c r="K171" s="16" t="s">
        <v>297</v>
      </c>
      <c r="L171" s="14" t="s">
        <v>59</v>
      </c>
      <c r="M171" s="14" t="s">
        <v>206</v>
      </c>
      <c r="N171" s="14" t="s">
        <v>829</v>
      </c>
      <c r="O171" s="15">
        <v>2022</v>
      </c>
      <c r="P171" s="15" t="s">
        <v>41</v>
      </c>
      <c r="Q171" s="15" t="s">
        <v>834</v>
      </c>
      <c r="R171" s="15" t="s">
        <v>63</v>
      </c>
      <c r="S171" s="15" t="s">
        <v>835</v>
      </c>
      <c r="T171" s="15">
        <v>422699</v>
      </c>
      <c r="U171" s="15" t="s">
        <v>45</v>
      </c>
      <c r="V171" s="15" t="s">
        <v>58</v>
      </c>
      <c r="W171" s="15" t="s">
        <v>41</v>
      </c>
      <c r="X171" s="15" t="s">
        <v>74</v>
      </c>
      <c r="Y171" s="15" t="s">
        <v>291</v>
      </c>
      <c r="Z171" s="15" t="s">
        <v>49</v>
      </c>
      <c r="AA171" s="15" t="s">
        <v>50</v>
      </c>
      <c r="AB171" s="15" t="s">
        <v>67</v>
      </c>
      <c r="AC171" s="15" t="s">
        <v>52</v>
      </c>
      <c r="AD171" s="15" t="s">
        <v>53</v>
      </c>
      <c r="AE171" s="15" t="s">
        <v>54</v>
      </c>
      <c r="AF171" s="15" t="s">
        <v>55</v>
      </c>
      <c r="AG171" s="15"/>
      <c r="AH171" s="14" t="str">
        <f>VLOOKUP(B171,[1]Sheet1!$A$2:$F$294,6,FALSE)</f>
        <v>无</v>
      </c>
      <c r="AI171" s="14">
        <f>VLOOKUP(B171,[1]Sheet1!$A$2:$F$294,4,FALSE)</f>
        <v>0</v>
      </c>
      <c r="AJ171" s="14" t="str">
        <f>VLOOKUP(B171,[1]Sheet1!$A$2:$F$294,5,FALSE)</f>
        <v>无</v>
      </c>
    </row>
    <row r="172" s="2" customFormat="1" ht="14.25" spans="1:36">
      <c r="A172" s="11">
        <v>171</v>
      </c>
      <c r="B172" s="12">
        <v>22408000715</v>
      </c>
      <c r="C172" s="13" t="s">
        <v>836</v>
      </c>
      <c r="D172" s="14" t="s">
        <v>746</v>
      </c>
      <c r="E172" s="41" t="s">
        <v>837</v>
      </c>
      <c r="F172" s="14">
        <v>13907353478</v>
      </c>
      <c r="G172" s="15">
        <v>13751592978</v>
      </c>
      <c r="H172" s="15">
        <v>19837057238</v>
      </c>
      <c r="I172" s="14" t="s">
        <v>58</v>
      </c>
      <c r="J172" s="15">
        <v>2022080007</v>
      </c>
      <c r="K172" s="16" t="s">
        <v>297</v>
      </c>
      <c r="L172" s="14" t="s">
        <v>59</v>
      </c>
      <c r="M172" s="14" t="s">
        <v>206</v>
      </c>
      <c r="N172" s="14" t="s">
        <v>829</v>
      </c>
      <c r="O172" s="15">
        <v>2022</v>
      </c>
      <c r="P172" s="15" t="s">
        <v>41</v>
      </c>
      <c r="Q172" s="15" t="s">
        <v>838</v>
      </c>
      <c r="R172" s="15" t="s">
        <v>63</v>
      </c>
      <c r="S172" s="15" t="s">
        <v>839</v>
      </c>
      <c r="T172" s="15">
        <v>424599</v>
      </c>
      <c r="U172" s="15" t="s">
        <v>45</v>
      </c>
      <c r="V172" s="15" t="s">
        <v>58</v>
      </c>
      <c r="W172" s="15" t="s">
        <v>41</v>
      </c>
      <c r="X172" s="15" t="s">
        <v>74</v>
      </c>
      <c r="Y172" s="15" t="s">
        <v>291</v>
      </c>
      <c r="Z172" s="15" t="s">
        <v>49</v>
      </c>
      <c r="AA172" s="15" t="s">
        <v>50</v>
      </c>
      <c r="AB172" s="15" t="s">
        <v>67</v>
      </c>
      <c r="AC172" s="15" t="s">
        <v>52</v>
      </c>
      <c r="AD172" s="15" t="s">
        <v>53</v>
      </c>
      <c r="AE172" s="15" t="s">
        <v>54</v>
      </c>
      <c r="AF172" s="15" t="s">
        <v>55</v>
      </c>
      <c r="AG172" s="15"/>
      <c r="AH172" s="14" t="str">
        <f>VLOOKUP(B172,[1]Sheet1!$A$2:$F$294,6,FALSE)</f>
        <v>无</v>
      </c>
      <c r="AI172" s="14">
        <f>VLOOKUP(B172,[1]Sheet1!$A$2:$F$294,4,FALSE)</f>
        <v>0</v>
      </c>
      <c r="AJ172" s="14" t="str">
        <f>VLOOKUP(B172,[1]Sheet1!$A$2:$F$294,5,FALSE)</f>
        <v>无</v>
      </c>
    </row>
    <row r="173" s="2" customFormat="1" ht="14.25" spans="1:36">
      <c r="A173" s="11">
        <v>172</v>
      </c>
      <c r="B173" s="12">
        <v>22408000718</v>
      </c>
      <c r="C173" s="13" t="s">
        <v>840</v>
      </c>
      <c r="D173" s="14" t="s">
        <v>746</v>
      </c>
      <c r="E173" s="15" t="s">
        <v>841</v>
      </c>
      <c r="F173" s="14">
        <v>18229583452</v>
      </c>
      <c r="G173" s="15">
        <v>13751592978</v>
      </c>
      <c r="H173" s="15">
        <v>13692739125</v>
      </c>
      <c r="I173" s="14" t="s">
        <v>58</v>
      </c>
      <c r="J173" s="15">
        <v>2022080007</v>
      </c>
      <c r="K173" s="16" t="s">
        <v>297</v>
      </c>
      <c r="L173" s="14" t="s">
        <v>59</v>
      </c>
      <c r="M173" s="14" t="s">
        <v>206</v>
      </c>
      <c r="N173" s="14" t="s">
        <v>321</v>
      </c>
      <c r="O173" s="15">
        <v>2022</v>
      </c>
      <c r="P173" s="15" t="s">
        <v>41</v>
      </c>
      <c r="Q173" s="15" t="s">
        <v>842</v>
      </c>
      <c r="R173" s="15" t="s">
        <v>63</v>
      </c>
      <c r="S173" s="15" t="s">
        <v>843</v>
      </c>
      <c r="T173" s="15">
        <v>422213</v>
      </c>
      <c r="U173" s="15" t="s">
        <v>45</v>
      </c>
      <c r="V173" s="15" t="s">
        <v>58</v>
      </c>
      <c r="W173" s="15" t="s">
        <v>41</v>
      </c>
      <c r="X173" s="15" t="s">
        <v>74</v>
      </c>
      <c r="Y173" s="15" t="s">
        <v>291</v>
      </c>
      <c r="Z173" s="15" t="s">
        <v>49</v>
      </c>
      <c r="AA173" s="15" t="s">
        <v>100</v>
      </c>
      <c r="AB173" s="15" t="s">
        <v>67</v>
      </c>
      <c r="AC173" s="15" t="s">
        <v>52</v>
      </c>
      <c r="AD173" s="15" t="s">
        <v>53</v>
      </c>
      <c r="AE173" s="15" t="s">
        <v>54</v>
      </c>
      <c r="AF173" s="15" t="s">
        <v>55</v>
      </c>
      <c r="AG173" s="15"/>
      <c r="AH173" s="14" t="str">
        <f>VLOOKUP(B173,[1]Sheet1!$A$2:$F$294,6,FALSE)</f>
        <v>无</v>
      </c>
      <c r="AI173" s="14">
        <f>VLOOKUP(B173,[1]Sheet1!$A$2:$F$294,4,FALSE)</f>
        <v>0</v>
      </c>
      <c r="AJ173" s="14" t="str">
        <f>VLOOKUP(B173,[1]Sheet1!$A$2:$F$294,5,FALSE)</f>
        <v>无</v>
      </c>
    </row>
    <row r="174" s="2" customFormat="1" ht="14.25" spans="1:36">
      <c r="A174" s="11">
        <v>173</v>
      </c>
      <c r="B174" s="12">
        <v>22408000722</v>
      </c>
      <c r="C174" s="13" t="s">
        <v>844</v>
      </c>
      <c r="D174" s="14" t="s">
        <v>746</v>
      </c>
      <c r="E174" s="41" t="s">
        <v>845</v>
      </c>
      <c r="F174" s="14">
        <v>15874766939</v>
      </c>
      <c r="G174" s="15">
        <v>18102387171</v>
      </c>
      <c r="H174" s="15">
        <v>18102387172</v>
      </c>
      <c r="I174" s="14" t="s">
        <v>58</v>
      </c>
      <c r="J174" s="15">
        <v>2022080007</v>
      </c>
      <c r="K174" s="16" t="s">
        <v>297</v>
      </c>
      <c r="L174" s="14" t="s">
        <v>59</v>
      </c>
      <c r="M174" s="14" t="s">
        <v>206</v>
      </c>
      <c r="N174" s="14" t="s">
        <v>326</v>
      </c>
      <c r="O174" s="15">
        <v>2022</v>
      </c>
      <c r="P174" s="15" t="s">
        <v>41</v>
      </c>
      <c r="Q174" s="15" t="s">
        <v>140</v>
      </c>
      <c r="R174" s="15" t="s">
        <v>63</v>
      </c>
      <c r="S174" s="15" t="s">
        <v>846</v>
      </c>
      <c r="T174" s="15">
        <v>421000</v>
      </c>
      <c r="U174" s="15" t="s">
        <v>45</v>
      </c>
      <c r="V174" s="15" t="s">
        <v>58</v>
      </c>
      <c r="W174" s="15" t="s">
        <v>41</v>
      </c>
      <c r="X174" s="15" t="s">
        <v>74</v>
      </c>
      <c r="Y174" s="15" t="s">
        <v>47</v>
      </c>
      <c r="Z174" s="15" t="s">
        <v>75</v>
      </c>
      <c r="AA174" s="15" t="s">
        <v>160</v>
      </c>
      <c r="AB174" s="15" t="s">
        <v>67</v>
      </c>
      <c r="AC174" s="15" t="s">
        <v>52</v>
      </c>
      <c r="AD174" s="15" t="s">
        <v>53</v>
      </c>
      <c r="AE174" s="15" t="s">
        <v>54</v>
      </c>
      <c r="AF174" s="15" t="s">
        <v>55</v>
      </c>
      <c r="AG174" s="15"/>
      <c r="AH174" s="14" t="str">
        <f>VLOOKUP(B174,[1]Sheet1!$A$2:$F$294,6,FALSE)</f>
        <v>无</v>
      </c>
      <c r="AI174" s="14">
        <f>VLOOKUP(B174,[1]Sheet1!$A$2:$F$294,4,FALSE)</f>
        <v>0</v>
      </c>
      <c r="AJ174" s="14" t="str">
        <f>VLOOKUP(B174,[1]Sheet1!$A$2:$F$294,5,FALSE)</f>
        <v>无</v>
      </c>
    </row>
    <row r="175" s="2" customFormat="1" ht="14.25" spans="1:36">
      <c r="A175" s="11">
        <v>174</v>
      </c>
      <c r="B175" s="12">
        <v>22408000723</v>
      </c>
      <c r="C175" s="13" t="s">
        <v>847</v>
      </c>
      <c r="D175" s="14" t="s">
        <v>746</v>
      </c>
      <c r="E175" s="41" t="s">
        <v>848</v>
      </c>
      <c r="F175" s="14">
        <v>15731096271</v>
      </c>
      <c r="G175" s="15">
        <v>18296847145</v>
      </c>
      <c r="H175" s="15">
        <v>15390733548</v>
      </c>
      <c r="I175" s="14" t="s">
        <v>58</v>
      </c>
      <c r="J175" s="15">
        <v>2022080007</v>
      </c>
      <c r="K175" s="16" t="s">
        <v>297</v>
      </c>
      <c r="L175" s="14" t="s">
        <v>59</v>
      </c>
      <c r="M175" s="14" t="s">
        <v>206</v>
      </c>
      <c r="N175" s="14" t="s">
        <v>326</v>
      </c>
      <c r="O175" s="15">
        <v>2022</v>
      </c>
      <c r="P175" s="15" t="s">
        <v>41</v>
      </c>
      <c r="Q175" s="15" t="s">
        <v>849</v>
      </c>
      <c r="R175" s="15" t="s">
        <v>43</v>
      </c>
      <c r="S175" s="15" t="s">
        <v>850</v>
      </c>
      <c r="T175" s="15">
        <v>56600</v>
      </c>
      <c r="U175" s="15" t="s">
        <v>65</v>
      </c>
      <c r="V175" s="15" t="s">
        <v>58</v>
      </c>
      <c r="W175" s="15" t="s">
        <v>41</v>
      </c>
      <c r="X175" s="15" t="s">
        <v>74</v>
      </c>
      <c r="Y175" s="15" t="s">
        <v>257</v>
      </c>
      <c r="Z175" s="15" t="s">
        <v>49</v>
      </c>
      <c r="AA175" s="15" t="s">
        <v>50</v>
      </c>
      <c r="AB175" s="15" t="s">
        <v>67</v>
      </c>
      <c r="AC175" s="15" t="s">
        <v>52</v>
      </c>
      <c r="AD175" s="15" t="s">
        <v>53</v>
      </c>
      <c r="AE175" s="15" t="s">
        <v>54</v>
      </c>
      <c r="AF175" s="15" t="s">
        <v>55</v>
      </c>
      <c r="AG175" s="15"/>
      <c r="AH175" s="14" t="str">
        <f>VLOOKUP(B175,[1]Sheet1!$A$2:$F$294,6,FALSE)</f>
        <v>困难</v>
      </c>
      <c r="AI175" s="14">
        <f>VLOOKUP(B175,[1]Sheet1!$A$2:$F$294,4,FALSE)</f>
        <v>0</v>
      </c>
      <c r="AJ175" s="14" t="str">
        <f>VLOOKUP(B175,[1]Sheet1!$A$2:$F$294,5,FALSE)</f>
        <v>无</v>
      </c>
    </row>
    <row r="176" s="2" customFormat="1" ht="14.25" spans="1:36">
      <c r="A176" s="11">
        <v>175</v>
      </c>
      <c r="B176" s="12">
        <v>22408000801</v>
      </c>
      <c r="C176" s="13" t="s">
        <v>851</v>
      </c>
      <c r="D176" s="14" t="s">
        <v>746</v>
      </c>
      <c r="E176" s="41" t="s">
        <v>852</v>
      </c>
      <c r="F176" s="14">
        <v>18360518317</v>
      </c>
      <c r="G176" s="15">
        <v>19518838887</v>
      </c>
      <c r="H176" s="15">
        <v>18352137868</v>
      </c>
      <c r="I176" s="14" t="s">
        <v>58</v>
      </c>
      <c r="J176" s="15">
        <v>2022080008</v>
      </c>
      <c r="K176" s="16" t="s">
        <v>356</v>
      </c>
      <c r="L176" s="14" t="s">
        <v>59</v>
      </c>
      <c r="M176" s="14" t="s">
        <v>152</v>
      </c>
      <c r="N176" s="14" t="s">
        <v>853</v>
      </c>
      <c r="O176" s="15">
        <v>2022</v>
      </c>
      <c r="P176" s="15" t="s">
        <v>41</v>
      </c>
      <c r="Q176" s="15" t="s">
        <v>854</v>
      </c>
      <c r="R176" s="15" t="s">
        <v>63</v>
      </c>
      <c r="S176" s="15" t="s">
        <v>855</v>
      </c>
      <c r="T176" s="15">
        <v>222141</v>
      </c>
      <c r="U176" s="15" t="s">
        <v>99</v>
      </c>
      <c r="V176" s="15" t="s">
        <v>58</v>
      </c>
      <c r="W176" s="15" t="s">
        <v>46</v>
      </c>
      <c r="X176" s="15" t="s">
        <v>74</v>
      </c>
      <c r="Y176" s="15" t="s">
        <v>88</v>
      </c>
      <c r="Z176" s="15" t="s">
        <v>49</v>
      </c>
      <c r="AA176" s="15" t="s">
        <v>50</v>
      </c>
      <c r="AB176" s="15" t="s">
        <v>67</v>
      </c>
      <c r="AC176" s="15" t="s">
        <v>52</v>
      </c>
      <c r="AD176" s="15" t="s">
        <v>53</v>
      </c>
      <c r="AE176" s="15" t="s">
        <v>54</v>
      </c>
      <c r="AF176" s="15" t="s">
        <v>55</v>
      </c>
      <c r="AG176" s="15"/>
      <c r="AH176" s="14" t="str">
        <f>VLOOKUP(B176,[1]Sheet1!$A$2:$F$294,6,FALSE)</f>
        <v>无</v>
      </c>
      <c r="AI176" s="14">
        <f>VLOOKUP(B176,[1]Sheet1!$A$2:$F$294,4,FALSE)</f>
        <v>0</v>
      </c>
      <c r="AJ176" s="14" t="str">
        <f>VLOOKUP(B176,[1]Sheet1!$A$2:$F$294,5,FALSE)</f>
        <v>无</v>
      </c>
    </row>
    <row r="177" s="2" customFormat="1" ht="14.25" spans="1:36">
      <c r="A177" s="11">
        <v>176</v>
      </c>
      <c r="B177" s="12">
        <v>22408000807</v>
      </c>
      <c r="C177" s="13" t="s">
        <v>856</v>
      </c>
      <c r="D177" s="14" t="s">
        <v>746</v>
      </c>
      <c r="E177" s="41" t="s">
        <v>857</v>
      </c>
      <c r="F177" s="14">
        <v>18890008337</v>
      </c>
      <c r="G177" s="15">
        <v>15084963977</v>
      </c>
      <c r="H177" s="15">
        <v>18774986100</v>
      </c>
      <c r="I177" s="14" t="s">
        <v>36</v>
      </c>
      <c r="J177" s="15">
        <v>2022080008</v>
      </c>
      <c r="K177" s="16" t="s">
        <v>356</v>
      </c>
      <c r="L177" s="14" t="s">
        <v>38</v>
      </c>
      <c r="M177" s="14" t="s">
        <v>39</v>
      </c>
      <c r="N177" s="14" t="s">
        <v>344</v>
      </c>
      <c r="O177" s="15">
        <v>2022</v>
      </c>
      <c r="P177" s="15" t="s">
        <v>41</v>
      </c>
      <c r="Q177" s="15" t="s">
        <v>110</v>
      </c>
      <c r="R177" s="15" t="s">
        <v>43</v>
      </c>
      <c r="S177" s="15" t="s">
        <v>858</v>
      </c>
      <c r="T177" s="15">
        <v>410600</v>
      </c>
      <c r="U177" s="15" t="s">
        <v>45</v>
      </c>
      <c r="V177" s="15" t="s">
        <v>36</v>
      </c>
      <c r="W177" s="15" t="s">
        <v>46</v>
      </c>
      <c r="X177" s="15" t="s">
        <v>74</v>
      </c>
      <c r="Y177" s="15" t="s">
        <v>88</v>
      </c>
      <c r="Z177" s="15" t="s">
        <v>49</v>
      </c>
      <c r="AA177" s="15" t="s">
        <v>50</v>
      </c>
      <c r="AB177" s="15" t="s">
        <v>67</v>
      </c>
      <c r="AC177" s="15" t="s">
        <v>52</v>
      </c>
      <c r="AD177" s="15" t="s">
        <v>53</v>
      </c>
      <c r="AE177" s="15" t="s">
        <v>54</v>
      </c>
      <c r="AF177" s="15" t="s">
        <v>55</v>
      </c>
      <c r="AG177" s="15"/>
      <c r="AH177" s="14" t="str">
        <f>VLOOKUP(B177,[1]Sheet1!$A$2:$F$294,6,FALSE)</f>
        <v>无</v>
      </c>
      <c r="AI177" s="14">
        <f>VLOOKUP(B177,[1]Sheet1!$A$2:$F$294,4,FALSE)</f>
        <v>0</v>
      </c>
      <c r="AJ177" s="14" t="str">
        <f>VLOOKUP(B177,[1]Sheet1!$A$2:$F$294,5,FALSE)</f>
        <v>无</v>
      </c>
    </row>
    <row r="178" s="2" customFormat="1" ht="14.25" spans="1:36">
      <c r="A178" s="11">
        <v>177</v>
      </c>
      <c r="B178" s="12">
        <v>22408000811</v>
      </c>
      <c r="C178" s="13" t="s">
        <v>859</v>
      </c>
      <c r="D178" s="14" t="s">
        <v>746</v>
      </c>
      <c r="E178" s="41" t="s">
        <v>860</v>
      </c>
      <c r="F178" s="14">
        <v>15007350839</v>
      </c>
      <c r="G178" s="15">
        <v>13975599749</v>
      </c>
      <c r="H178" s="15">
        <v>13762513918</v>
      </c>
      <c r="I178" s="14" t="s">
        <v>58</v>
      </c>
      <c r="J178" s="15">
        <v>2022080008</v>
      </c>
      <c r="K178" s="16" t="s">
        <v>356</v>
      </c>
      <c r="L178" s="14" t="s">
        <v>59</v>
      </c>
      <c r="M178" s="14" t="s">
        <v>152</v>
      </c>
      <c r="N178" s="14" t="s">
        <v>371</v>
      </c>
      <c r="O178" s="15">
        <v>2022</v>
      </c>
      <c r="P178" s="15" t="s">
        <v>41</v>
      </c>
      <c r="Q178" s="15" t="s">
        <v>42</v>
      </c>
      <c r="R178" s="15" t="s">
        <v>43</v>
      </c>
      <c r="S178" s="15" t="s">
        <v>861</v>
      </c>
      <c r="T178" s="15">
        <v>423000</v>
      </c>
      <c r="U178" s="15" t="s">
        <v>45</v>
      </c>
      <c r="V178" s="15" t="s">
        <v>58</v>
      </c>
      <c r="W178" s="15" t="s">
        <v>46</v>
      </c>
      <c r="X178" s="15" t="s">
        <v>74</v>
      </c>
      <c r="Y178" s="15" t="s">
        <v>47</v>
      </c>
      <c r="Z178" s="15" t="s">
        <v>75</v>
      </c>
      <c r="AA178" s="15" t="s">
        <v>50</v>
      </c>
      <c r="AB178" s="15" t="s">
        <v>67</v>
      </c>
      <c r="AC178" s="15" t="s">
        <v>52</v>
      </c>
      <c r="AD178" s="15" t="s">
        <v>53</v>
      </c>
      <c r="AE178" s="15" t="s">
        <v>54</v>
      </c>
      <c r="AF178" s="15" t="s">
        <v>55</v>
      </c>
      <c r="AG178" s="15"/>
      <c r="AH178" s="14" t="str">
        <f>VLOOKUP(B178,[1]Sheet1!$A$2:$F$294,6,FALSE)</f>
        <v>无</v>
      </c>
      <c r="AI178" s="14">
        <f>VLOOKUP(B178,[1]Sheet1!$A$2:$F$294,4,FALSE)</f>
        <v>0</v>
      </c>
      <c r="AJ178" s="14" t="str">
        <f>VLOOKUP(B178,[1]Sheet1!$A$2:$F$294,5,FALSE)</f>
        <v>无</v>
      </c>
    </row>
    <row r="179" s="2" customFormat="1" ht="14.25" spans="1:36">
      <c r="A179" s="11">
        <v>178</v>
      </c>
      <c r="B179" s="12">
        <v>22408000812</v>
      </c>
      <c r="C179" s="13" t="s">
        <v>862</v>
      </c>
      <c r="D179" s="14" t="s">
        <v>746</v>
      </c>
      <c r="E179" s="41" t="s">
        <v>863</v>
      </c>
      <c r="F179" s="14">
        <v>19173518012</v>
      </c>
      <c r="G179" s="15">
        <v>19173517698</v>
      </c>
      <c r="H179" s="15">
        <v>19173518210</v>
      </c>
      <c r="I179" s="14" t="s">
        <v>58</v>
      </c>
      <c r="J179" s="15">
        <v>2022080008</v>
      </c>
      <c r="K179" s="16" t="s">
        <v>356</v>
      </c>
      <c r="L179" s="14" t="s">
        <v>59</v>
      </c>
      <c r="M179" s="14" t="s">
        <v>152</v>
      </c>
      <c r="N179" s="14" t="s">
        <v>371</v>
      </c>
      <c r="O179" s="15">
        <v>2022</v>
      </c>
      <c r="P179" s="15" t="s">
        <v>41</v>
      </c>
      <c r="Q179" s="15" t="s">
        <v>42</v>
      </c>
      <c r="R179" s="15" t="s">
        <v>43</v>
      </c>
      <c r="S179" s="15" t="s">
        <v>864</v>
      </c>
      <c r="T179" s="15">
        <v>423500</v>
      </c>
      <c r="U179" s="15" t="s">
        <v>45</v>
      </c>
      <c r="V179" s="15" t="s">
        <v>58</v>
      </c>
      <c r="W179" s="15" t="s">
        <v>46</v>
      </c>
      <c r="X179" s="15" t="s">
        <v>47</v>
      </c>
      <c r="Y179" s="15" t="s">
        <v>88</v>
      </c>
      <c r="Z179" s="15" t="s">
        <v>49</v>
      </c>
      <c r="AA179" s="15" t="s">
        <v>50</v>
      </c>
      <c r="AB179" s="15" t="s">
        <v>51</v>
      </c>
      <c r="AC179" s="15" t="s">
        <v>52</v>
      </c>
      <c r="AD179" s="15" t="s">
        <v>53</v>
      </c>
      <c r="AE179" s="15" t="s">
        <v>54</v>
      </c>
      <c r="AF179" s="15" t="s">
        <v>55</v>
      </c>
      <c r="AG179" s="15"/>
      <c r="AH179" s="14" t="str">
        <f>VLOOKUP(B179,[1]Sheet1!$A$2:$F$294,6,FALSE)</f>
        <v>一般困难</v>
      </c>
      <c r="AI179" s="14">
        <f>VLOOKUP(B179,[1]Sheet1!$A$2:$F$294,4,FALSE)</f>
        <v>0</v>
      </c>
      <c r="AJ179" s="14" t="str">
        <f>VLOOKUP(B179,[1]Sheet1!$A$2:$F$294,5,FALSE)</f>
        <v>无</v>
      </c>
    </row>
    <row r="180" s="2" customFormat="1" ht="14.25" spans="1:36">
      <c r="A180" s="11">
        <v>179</v>
      </c>
      <c r="B180" s="12">
        <v>22408000814</v>
      </c>
      <c r="C180" s="13" t="s">
        <v>865</v>
      </c>
      <c r="D180" s="14" t="s">
        <v>746</v>
      </c>
      <c r="E180" s="41" t="s">
        <v>866</v>
      </c>
      <c r="F180" s="14">
        <v>15707305639</v>
      </c>
      <c r="G180" s="15">
        <v>15707306068</v>
      </c>
      <c r="H180" s="15">
        <v>15707305039</v>
      </c>
      <c r="I180" s="14" t="s">
        <v>58</v>
      </c>
      <c r="J180" s="15">
        <v>2022080008</v>
      </c>
      <c r="K180" s="16" t="s">
        <v>356</v>
      </c>
      <c r="L180" s="14" t="s">
        <v>59</v>
      </c>
      <c r="M180" s="14" t="s">
        <v>152</v>
      </c>
      <c r="N180" s="14" t="s">
        <v>371</v>
      </c>
      <c r="O180" s="15">
        <v>2022</v>
      </c>
      <c r="P180" s="15" t="s">
        <v>41</v>
      </c>
      <c r="Q180" s="15" t="s">
        <v>255</v>
      </c>
      <c r="R180" s="15" t="s">
        <v>63</v>
      </c>
      <c r="S180" s="15" t="s">
        <v>867</v>
      </c>
      <c r="T180" s="15">
        <v>414504</v>
      </c>
      <c r="U180" s="15" t="s">
        <v>45</v>
      </c>
      <c r="V180" s="15" t="s">
        <v>58</v>
      </c>
      <c r="W180" s="15" t="s">
        <v>46</v>
      </c>
      <c r="X180" s="15" t="s">
        <v>47</v>
      </c>
      <c r="Y180" s="15" t="s">
        <v>48</v>
      </c>
      <c r="Z180" s="15" t="s">
        <v>49</v>
      </c>
      <c r="AA180" s="15" t="s">
        <v>50</v>
      </c>
      <c r="AB180" s="15" t="s">
        <v>51</v>
      </c>
      <c r="AC180" s="15" t="s">
        <v>52</v>
      </c>
      <c r="AD180" s="15" t="s">
        <v>53</v>
      </c>
      <c r="AE180" s="15" t="s">
        <v>54</v>
      </c>
      <c r="AF180" s="15" t="s">
        <v>55</v>
      </c>
      <c r="AG180" s="15" t="s">
        <v>305</v>
      </c>
      <c r="AH180" s="14" t="str">
        <f>VLOOKUP(B180,[1]Sheet1!$A$2:$F$294,6,FALSE)</f>
        <v>无</v>
      </c>
      <c r="AI180" s="14">
        <f>VLOOKUP(B180,[1]Sheet1!$A$2:$F$294,4,FALSE)</f>
        <v>2</v>
      </c>
      <c r="AJ180" s="14" t="str">
        <f>VLOOKUP(B180,[1]Sheet1!$A$2:$F$294,5,FALSE)</f>
        <v>Web系统开发课程设计,面向过程程序设计(C语言)课程设计</v>
      </c>
    </row>
    <row r="181" s="2" customFormat="1" ht="14.25" spans="1:36">
      <c r="A181" s="11">
        <v>180</v>
      </c>
      <c r="B181" s="12">
        <v>22408000829</v>
      </c>
      <c r="C181" s="13" t="s">
        <v>868</v>
      </c>
      <c r="D181" s="14" t="s">
        <v>746</v>
      </c>
      <c r="E181" s="41" t="s">
        <v>869</v>
      </c>
      <c r="F181" s="14">
        <v>15978470261</v>
      </c>
      <c r="G181" s="15">
        <v>15830518141</v>
      </c>
      <c r="H181" s="15">
        <v>15232680425</v>
      </c>
      <c r="I181" s="14" t="s">
        <v>36</v>
      </c>
      <c r="J181" s="15">
        <v>2022080008</v>
      </c>
      <c r="K181" s="16" t="s">
        <v>356</v>
      </c>
      <c r="L181" s="14" t="s">
        <v>38</v>
      </c>
      <c r="M181" s="14" t="s">
        <v>39</v>
      </c>
      <c r="N181" s="14" t="s">
        <v>870</v>
      </c>
      <c r="O181" s="15">
        <v>2022</v>
      </c>
      <c r="P181" s="15" t="s">
        <v>41</v>
      </c>
      <c r="Q181" s="15" t="s">
        <v>871</v>
      </c>
      <c r="R181" s="15" t="s">
        <v>63</v>
      </c>
      <c r="S181" s="15" t="s">
        <v>872</v>
      </c>
      <c r="T181" s="15">
        <v>463800</v>
      </c>
      <c r="U181" s="15" t="s">
        <v>202</v>
      </c>
      <c r="V181" s="15" t="s">
        <v>36</v>
      </c>
      <c r="W181" s="15" t="s">
        <v>46</v>
      </c>
      <c r="X181" s="15" t="s">
        <v>74</v>
      </c>
      <c r="Y181" s="15" t="s">
        <v>48</v>
      </c>
      <c r="Z181" s="15" t="s">
        <v>49</v>
      </c>
      <c r="AA181" s="15" t="s">
        <v>50</v>
      </c>
      <c r="AB181" s="15" t="s">
        <v>67</v>
      </c>
      <c r="AC181" s="15" t="s">
        <v>52</v>
      </c>
      <c r="AD181" s="15" t="s">
        <v>53</v>
      </c>
      <c r="AE181" s="15" t="s">
        <v>54</v>
      </c>
      <c r="AF181" s="15" t="s">
        <v>55</v>
      </c>
      <c r="AG181" s="15"/>
      <c r="AH181" s="14" t="str">
        <f>VLOOKUP(B181,[1]Sheet1!$A$2:$F$294,6,FALSE)</f>
        <v>无</v>
      </c>
      <c r="AI181" s="14">
        <f>VLOOKUP(B181,[1]Sheet1!$A$2:$F$294,4,FALSE)</f>
        <v>0</v>
      </c>
      <c r="AJ181" s="14" t="str">
        <f>VLOOKUP(B181,[1]Sheet1!$A$2:$F$294,5,FALSE)</f>
        <v>无</v>
      </c>
    </row>
    <row r="182" s="3" customFormat="1" ht="14.25" spans="1:36">
      <c r="A182" s="17">
        <v>181</v>
      </c>
      <c r="B182" s="18">
        <v>22408000830</v>
      </c>
      <c r="C182" s="17" t="s">
        <v>873</v>
      </c>
      <c r="D182" s="19" t="s">
        <v>746</v>
      </c>
      <c r="E182" s="42" t="s">
        <v>874</v>
      </c>
      <c r="F182" s="19">
        <v>13647469210</v>
      </c>
      <c r="G182" s="19">
        <v>13556776051</v>
      </c>
      <c r="H182" s="19">
        <v>13392336129</v>
      </c>
      <c r="I182" s="19" t="s">
        <v>58</v>
      </c>
      <c r="J182" s="19">
        <v>2022080008</v>
      </c>
      <c r="K182" s="20" t="s">
        <v>356</v>
      </c>
      <c r="L182" s="19" t="s">
        <v>59</v>
      </c>
      <c r="M182" s="19" t="s">
        <v>152</v>
      </c>
      <c r="N182" s="19" t="s">
        <v>395</v>
      </c>
      <c r="O182" s="19">
        <v>2022</v>
      </c>
      <c r="P182" s="19" t="s">
        <v>41</v>
      </c>
      <c r="Q182" s="19" t="s">
        <v>115</v>
      </c>
      <c r="R182" s="19" t="s">
        <v>63</v>
      </c>
      <c r="S182" s="19" t="s">
        <v>875</v>
      </c>
      <c r="T182" s="19">
        <v>410000</v>
      </c>
      <c r="U182" s="19" t="s">
        <v>45</v>
      </c>
      <c r="V182" s="19" t="s">
        <v>58</v>
      </c>
      <c r="W182" s="19" t="s">
        <v>46</v>
      </c>
      <c r="X182" s="19" t="s">
        <v>74</v>
      </c>
      <c r="Y182" s="19" t="s">
        <v>47</v>
      </c>
      <c r="Z182" s="19" t="s">
        <v>75</v>
      </c>
      <c r="AA182" s="19" t="s">
        <v>50</v>
      </c>
      <c r="AB182" s="19" t="s">
        <v>67</v>
      </c>
      <c r="AC182" s="19" t="s">
        <v>52</v>
      </c>
      <c r="AD182" s="19" t="s">
        <v>53</v>
      </c>
      <c r="AE182" s="19" t="s">
        <v>54</v>
      </c>
      <c r="AF182" s="19" t="s">
        <v>55</v>
      </c>
      <c r="AG182" s="19"/>
      <c r="AH182" s="14" t="str">
        <f>VLOOKUP(B182,[1]Sheet1!$A$2:$F$294,6,FALSE)</f>
        <v>无</v>
      </c>
      <c r="AI182" s="14">
        <f>VLOOKUP(B182,[1]Sheet1!$A$2:$F$294,4,FALSE)</f>
        <v>0</v>
      </c>
      <c r="AJ182" s="14" t="str">
        <f>VLOOKUP(B182,[1]Sheet1!$A$2:$F$294,5,FALSE)</f>
        <v>无</v>
      </c>
    </row>
    <row r="183" s="2" customFormat="1" ht="14.25" spans="1:36">
      <c r="A183" s="11">
        <v>182</v>
      </c>
      <c r="B183" s="12">
        <v>22408000831</v>
      </c>
      <c r="C183" s="13" t="s">
        <v>876</v>
      </c>
      <c r="D183" s="14" t="s">
        <v>746</v>
      </c>
      <c r="E183" s="41" t="s">
        <v>877</v>
      </c>
      <c r="F183" s="14">
        <v>18973963009</v>
      </c>
      <c r="G183" s="15">
        <v>18390744225</v>
      </c>
      <c r="H183" s="15">
        <v>19330932585</v>
      </c>
      <c r="I183" s="14" t="s">
        <v>58</v>
      </c>
      <c r="J183" s="15">
        <v>2022080008</v>
      </c>
      <c r="K183" s="16" t="s">
        <v>356</v>
      </c>
      <c r="L183" s="14" t="s">
        <v>59</v>
      </c>
      <c r="M183" s="14" t="s">
        <v>152</v>
      </c>
      <c r="N183" s="14" t="s">
        <v>395</v>
      </c>
      <c r="O183" s="15">
        <v>2022</v>
      </c>
      <c r="P183" s="15" t="s">
        <v>41</v>
      </c>
      <c r="Q183" s="15" t="s">
        <v>194</v>
      </c>
      <c r="R183" s="15" t="s">
        <v>63</v>
      </c>
      <c r="S183" s="15" t="s">
        <v>878</v>
      </c>
      <c r="T183" s="15">
        <v>422000</v>
      </c>
      <c r="U183" s="15" t="s">
        <v>45</v>
      </c>
      <c r="V183" s="15" t="s">
        <v>58</v>
      </c>
      <c r="W183" s="15" t="s">
        <v>46</v>
      </c>
      <c r="X183" s="15" t="s">
        <v>47</v>
      </c>
      <c r="Y183" s="15" t="s">
        <v>48</v>
      </c>
      <c r="Z183" s="15" t="s">
        <v>49</v>
      </c>
      <c r="AA183" s="15" t="s">
        <v>50</v>
      </c>
      <c r="AB183" s="15" t="s">
        <v>67</v>
      </c>
      <c r="AC183" s="15" t="s">
        <v>52</v>
      </c>
      <c r="AD183" s="15" t="s">
        <v>53</v>
      </c>
      <c r="AE183" s="15" t="s">
        <v>54</v>
      </c>
      <c r="AF183" s="15" t="s">
        <v>55</v>
      </c>
      <c r="AG183" s="15"/>
      <c r="AH183" s="14" t="str">
        <f>VLOOKUP(B183,[1]Sheet1!$A$2:$F$294,6,FALSE)</f>
        <v>困难</v>
      </c>
      <c r="AI183" s="14">
        <f>VLOOKUP(B183,[1]Sheet1!$A$2:$F$294,4,FALSE)</f>
        <v>0</v>
      </c>
      <c r="AJ183" s="14" t="str">
        <f>VLOOKUP(B183,[1]Sheet1!$A$2:$F$294,5,FALSE)</f>
        <v>无</v>
      </c>
    </row>
    <row r="184" s="2" customFormat="1" ht="14.25" spans="1:36">
      <c r="A184" s="11">
        <v>183</v>
      </c>
      <c r="B184" s="12">
        <v>22408000835</v>
      </c>
      <c r="C184" s="13" t="s">
        <v>879</v>
      </c>
      <c r="D184" s="14" t="s">
        <v>746</v>
      </c>
      <c r="E184" s="15" t="s">
        <v>880</v>
      </c>
      <c r="F184" s="14">
        <v>19892687918</v>
      </c>
      <c r="G184" s="15">
        <v>13574619661</v>
      </c>
      <c r="H184" s="15">
        <v>15211615298</v>
      </c>
      <c r="I184" s="14" t="s">
        <v>58</v>
      </c>
      <c r="J184" s="15">
        <v>2022080008</v>
      </c>
      <c r="K184" s="16" t="s">
        <v>356</v>
      </c>
      <c r="L184" s="14" t="s">
        <v>59</v>
      </c>
      <c r="M184" s="14" t="s">
        <v>152</v>
      </c>
      <c r="N184" s="14" t="s">
        <v>405</v>
      </c>
      <c r="O184" s="15">
        <v>2022</v>
      </c>
      <c r="P184" s="15" t="s">
        <v>41</v>
      </c>
      <c r="Q184" s="15" t="s">
        <v>717</v>
      </c>
      <c r="R184" s="15" t="s">
        <v>43</v>
      </c>
      <c r="S184" s="15" t="s">
        <v>881</v>
      </c>
      <c r="T184" s="15">
        <v>425000</v>
      </c>
      <c r="U184" s="15" t="s">
        <v>45</v>
      </c>
      <c r="V184" s="15" t="s">
        <v>58</v>
      </c>
      <c r="W184" s="15" t="s">
        <v>46</v>
      </c>
      <c r="X184" s="15" t="s">
        <v>47</v>
      </c>
      <c r="Y184" s="15" t="s">
        <v>48</v>
      </c>
      <c r="Z184" s="15" t="s">
        <v>75</v>
      </c>
      <c r="AA184" s="15" t="s">
        <v>50</v>
      </c>
      <c r="AB184" s="15" t="s">
        <v>67</v>
      </c>
      <c r="AC184" s="15" t="s">
        <v>52</v>
      </c>
      <c r="AD184" s="15" t="s">
        <v>53</v>
      </c>
      <c r="AE184" s="15" t="s">
        <v>54</v>
      </c>
      <c r="AF184" s="15" t="s">
        <v>55</v>
      </c>
      <c r="AG184" s="15"/>
      <c r="AH184" s="14" t="str">
        <f>VLOOKUP(B184,[1]Sheet1!$A$2:$F$294,6,FALSE)</f>
        <v>无</v>
      </c>
      <c r="AI184" s="14">
        <f>VLOOKUP(B184,[1]Sheet1!$A$2:$F$294,4,FALSE)</f>
        <v>0</v>
      </c>
      <c r="AJ184" s="14" t="str">
        <f>VLOOKUP(B184,[1]Sheet1!$A$2:$F$294,5,FALSE)</f>
        <v>无</v>
      </c>
    </row>
    <row r="185" s="2" customFormat="1" ht="14.25" spans="1:36">
      <c r="A185" s="11">
        <v>184</v>
      </c>
      <c r="B185" s="12">
        <v>22408000839</v>
      </c>
      <c r="C185" s="13" t="s">
        <v>882</v>
      </c>
      <c r="D185" s="14" t="s">
        <v>746</v>
      </c>
      <c r="E185" s="41" t="s">
        <v>883</v>
      </c>
      <c r="F185" s="14">
        <v>15096311649</v>
      </c>
      <c r="G185" s="15">
        <v>13873351075</v>
      </c>
      <c r="H185" s="15">
        <v>15570742372</v>
      </c>
      <c r="I185" s="14" t="s">
        <v>58</v>
      </c>
      <c r="J185" s="15">
        <v>2022080008</v>
      </c>
      <c r="K185" s="16" t="s">
        <v>356</v>
      </c>
      <c r="L185" s="14" t="s">
        <v>59</v>
      </c>
      <c r="M185" s="14" t="s">
        <v>152</v>
      </c>
      <c r="N185" s="14" t="s">
        <v>405</v>
      </c>
      <c r="O185" s="15">
        <v>2022</v>
      </c>
      <c r="P185" s="15" t="s">
        <v>41</v>
      </c>
      <c r="Q185" s="15" t="s">
        <v>884</v>
      </c>
      <c r="R185" s="15" t="s">
        <v>63</v>
      </c>
      <c r="S185" s="15" t="s">
        <v>885</v>
      </c>
      <c r="T185" s="15">
        <v>412000</v>
      </c>
      <c r="U185" s="15" t="s">
        <v>45</v>
      </c>
      <c r="V185" s="15" t="s">
        <v>58</v>
      </c>
      <c r="W185" s="15" t="s">
        <v>46</v>
      </c>
      <c r="X185" s="15" t="s">
        <v>74</v>
      </c>
      <c r="Y185" s="15" t="s">
        <v>48</v>
      </c>
      <c r="Z185" s="15" t="s">
        <v>49</v>
      </c>
      <c r="AA185" s="15" t="s">
        <v>50</v>
      </c>
      <c r="AB185" s="15" t="s">
        <v>67</v>
      </c>
      <c r="AC185" s="15" t="s">
        <v>52</v>
      </c>
      <c r="AD185" s="15" t="s">
        <v>53</v>
      </c>
      <c r="AE185" s="15" t="s">
        <v>54</v>
      </c>
      <c r="AF185" s="15" t="s">
        <v>55</v>
      </c>
      <c r="AG185" s="15"/>
      <c r="AH185" s="14" t="str">
        <f>VLOOKUP(B185,[1]Sheet1!$A$2:$F$294,6,FALSE)</f>
        <v>无</v>
      </c>
      <c r="AI185" s="14">
        <f>VLOOKUP(B185,[1]Sheet1!$A$2:$F$294,4,FALSE)</f>
        <v>0</v>
      </c>
      <c r="AJ185" s="14" t="str">
        <f>VLOOKUP(B185,[1]Sheet1!$A$2:$F$294,5,FALSE)</f>
        <v>无</v>
      </c>
    </row>
    <row r="186" s="2" customFormat="1" ht="14.25" spans="1:36">
      <c r="A186" s="11">
        <v>185</v>
      </c>
      <c r="B186" s="12">
        <v>21450150609</v>
      </c>
      <c r="C186" s="13" t="s">
        <v>886</v>
      </c>
      <c r="D186" s="14" t="s">
        <v>887</v>
      </c>
      <c r="E186" s="41" t="s">
        <v>888</v>
      </c>
      <c r="F186" s="14">
        <v>18975975809</v>
      </c>
      <c r="G186" s="15">
        <v>13365892740</v>
      </c>
      <c r="H186" s="15">
        <v>13607477915</v>
      </c>
      <c r="I186" s="14" t="s">
        <v>36</v>
      </c>
      <c r="J186" s="15">
        <v>2022080003</v>
      </c>
      <c r="K186" s="16" t="s">
        <v>37</v>
      </c>
      <c r="L186" s="14" t="s">
        <v>38</v>
      </c>
      <c r="M186" s="14" t="s">
        <v>39</v>
      </c>
      <c r="N186" s="14" t="s">
        <v>40</v>
      </c>
      <c r="O186" s="15">
        <v>2021</v>
      </c>
      <c r="P186" s="15" t="s">
        <v>482</v>
      </c>
      <c r="Q186" s="15" t="s">
        <v>194</v>
      </c>
      <c r="R186" s="15" t="s">
        <v>43</v>
      </c>
      <c r="S186" s="15" t="s">
        <v>889</v>
      </c>
      <c r="T186" s="15">
        <v>422500</v>
      </c>
      <c r="U186" s="15" t="s">
        <v>45</v>
      </c>
      <c r="V186" s="15" t="s">
        <v>36</v>
      </c>
      <c r="W186" s="15" t="s">
        <v>890</v>
      </c>
      <c r="X186" s="15" t="s">
        <v>74</v>
      </c>
      <c r="Y186" s="15" t="s">
        <v>88</v>
      </c>
      <c r="Z186" s="15" t="s">
        <v>75</v>
      </c>
      <c r="AA186" s="15" t="s">
        <v>50</v>
      </c>
      <c r="AB186" s="15" t="s">
        <v>67</v>
      </c>
      <c r="AC186" s="15" t="s">
        <v>52</v>
      </c>
      <c r="AD186" s="15" t="s">
        <v>53</v>
      </c>
      <c r="AE186" s="15" t="s">
        <v>54</v>
      </c>
      <c r="AF186" s="15" t="s">
        <v>55</v>
      </c>
      <c r="AG186" s="15" t="s">
        <v>674</v>
      </c>
      <c r="AH186" s="14" t="str">
        <f>VLOOKUP(B186,[1]Sheet1!$A$2:$F$294,6,FALSE)</f>
        <v>无</v>
      </c>
      <c r="AI186" s="14">
        <f>VLOOKUP(B186,[1]Sheet1!$A$2:$F$294,4,FALSE)</f>
        <v>0</v>
      </c>
      <c r="AJ186" s="14" t="str">
        <f>VLOOKUP(B186,[1]Sheet1!$A$2:$F$294,5,FALSE)</f>
        <v>无</v>
      </c>
    </row>
    <row r="187" s="2" customFormat="1" ht="14.25" spans="1:36">
      <c r="A187" s="11">
        <v>186</v>
      </c>
      <c r="B187" s="12">
        <v>22408000305</v>
      </c>
      <c r="C187" s="13" t="s">
        <v>891</v>
      </c>
      <c r="D187" s="14" t="s">
        <v>887</v>
      </c>
      <c r="E187" s="41" t="s">
        <v>892</v>
      </c>
      <c r="F187" s="14">
        <v>18174574616</v>
      </c>
      <c r="G187" s="15">
        <v>13574584436</v>
      </c>
      <c r="H187" s="15">
        <v>13973078423</v>
      </c>
      <c r="I187" s="14" t="s">
        <v>58</v>
      </c>
      <c r="J187" s="15">
        <v>2022080003</v>
      </c>
      <c r="K187" s="16" t="s">
        <v>37</v>
      </c>
      <c r="L187" s="14" t="s">
        <v>59</v>
      </c>
      <c r="M187" s="14" t="s">
        <v>60</v>
      </c>
      <c r="N187" s="14" t="s">
        <v>609</v>
      </c>
      <c r="O187" s="15">
        <v>2022</v>
      </c>
      <c r="P187" s="15" t="s">
        <v>41</v>
      </c>
      <c r="Q187" s="15" t="s">
        <v>893</v>
      </c>
      <c r="R187" s="15" t="s">
        <v>63</v>
      </c>
      <c r="S187" s="15" t="s">
        <v>894</v>
      </c>
      <c r="T187" s="15">
        <v>418100</v>
      </c>
      <c r="U187" s="15" t="s">
        <v>45</v>
      </c>
      <c r="V187" s="15" t="s">
        <v>58</v>
      </c>
      <c r="W187" s="15" t="s">
        <v>46</v>
      </c>
      <c r="X187" s="15" t="s">
        <v>74</v>
      </c>
      <c r="Y187" s="15" t="s">
        <v>48</v>
      </c>
      <c r="Z187" s="15" t="s">
        <v>49</v>
      </c>
      <c r="AA187" s="15" t="s">
        <v>50</v>
      </c>
      <c r="AB187" s="15" t="s">
        <v>67</v>
      </c>
      <c r="AC187" s="15" t="s">
        <v>52</v>
      </c>
      <c r="AD187" s="15" t="s">
        <v>53</v>
      </c>
      <c r="AE187" s="15" t="s">
        <v>895</v>
      </c>
      <c r="AF187" s="15" t="s">
        <v>55</v>
      </c>
      <c r="AG187" s="15"/>
      <c r="AH187" s="14" t="str">
        <f>VLOOKUP(B187,[1]Sheet1!$A$2:$F$294,6,FALSE)</f>
        <v>无</v>
      </c>
      <c r="AI187" s="14">
        <f>VLOOKUP(B187,[1]Sheet1!$A$2:$F$294,4,FALSE)</f>
        <v>0</v>
      </c>
      <c r="AJ187" s="14" t="str">
        <f>VLOOKUP(B187,[1]Sheet1!$A$2:$F$294,5,FALSE)</f>
        <v>无</v>
      </c>
    </row>
    <row r="188" s="2" customFormat="1" ht="14.25" spans="1:36">
      <c r="A188" s="11">
        <v>187</v>
      </c>
      <c r="B188" s="12">
        <v>22408000306</v>
      </c>
      <c r="C188" s="13" t="s">
        <v>896</v>
      </c>
      <c r="D188" s="14" t="s">
        <v>887</v>
      </c>
      <c r="E188" s="41" t="s">
        <v>897</v>
      </c>
      <c r="F188" s="14">
        <v>17699475886</v>
      </c>
      <c r="G188" s="15">
        <v>13779307961</v>
      </c>
      <c r="H188" s="15">
        <v>18094818704</v>
      </c>
      <c r="I188" s="14" t="s">
        <v>36</v>
      </c>
      <c r="J188" s="15">
        <v>2022080003</v>
      </c>
      <c r="K188" s="16" t="s">
        <v>37</v>
      </c>
      <c r="L188" s="14" t="s">
        <v>38</v>
      </c>
      <c r="M188" s="14" t="s">
        <v>39</v>
      </c>
      <c r="N188" s="14" t="s">
        <v>40</v>
      </c>
      <c r="O188" s="15">
        <v>2022</v>
      </c>
      <c r="P188" s="15" t="s">
        <v>427</v>
      </c>
      <c r="Q188" s="15" t="s">
        <v>898</v>
      </c>
      <c r="R188" s="15" t="s">
        <v>63</v>
      </c>
      <c r="S188" s="15" t="s">
        <v>899</v>
      </c>
      <c r="T188" s="15">
        <v>841000</v>
      </c>
      <c r="U188" s="15" t="s">
        <v>333</v>
      </c>
      <c r="V188" s="15" t="s">
        <v>36</v>
      </c>
      <c r="W188" s="15" t="s">
        <v>427</v>
      </c>
      <c r="X188" s="15" t="s">
        <v>47</v>
      </c>
      <c r="Y188" s="15" t="s">
        <v>88</v>
      </c>
      <c r="Z188" s="15" t="s">
        <v>49</v>
      </c>
      <c r="AA188" s="15" t="s">
        <v>50</v>
      </c>
      <c r="AB188" s="15" t="s">
        <v>67</v>
      </c>
      <c r="AC188" s="15" t="s">
        <v>52</v>
      </c>
      <c r="AD188" s="15" t="s">
        <v>53</v>
      </c>
      <c r="AE188" s="15" t="s">
        <v>54</v>
      </c>
      <c r="AF188" s="15" t="s">
        <v>55</v>
      </c>
      <c r="AG188" s="15"/>
      <c r="AH188" s="14" t="str">
        <f>VLOOKUP(B188,[1]Sheet1!$A$2:$F$294,6,FALSE)</f>
        <v>无</v>
      </c>
      <c r="AI188" s="14">
        <f>VLOOKUP(B188,[1]Sheet1!$A$2:$F$294,4,FALSE)</f>
        <v>0</v>
      </c>
      <c r="AJ188" s="14" t="str">
        <f>VLOOKUP(B188,[1]Sheet1!$A$2:$F$294,5,FALSE)</f>
        <v>无</v>
      </c>
    </row>
    <row r="189" s="2" customFormat="1" ht="14.25" spans="1:36">
      <c r="A189" s="11">
        <v>188</v>
      </c>
      <c r="B189" s="12">
        <v>22408000317</v>
      </c>
      <c r="C189" s="13" t="s">
        <v>900</v>
      </c>
      <c r="D189" s="14" t="s">
        <v>887</v>
      </c>
      <c r="E189" s="41" t="s">
        <v>901</v>
      </c>
      <c r="F189" s="14">
        <v>13237382808</v>
      </c>
      <c r="G189" s="15">
        <v>17680710818</v>
      </c>
      <c r="H189" s="15">
        <v>15576307178</v>
      </c>
      <c r="I189" s="14" t="s">
        <v>58</v>
      </c>
      <c r="J189" s="15">
        <v>2022080003</v>
      </c>
      <c r="K189" s="16" t="s">
        <v>37</v>
      </c>
      <c r="L189" s="14" t="s">
        <v>59</v>
      </c>
      <c r="M189" s="14" t="s">
        <v>60</v>
      </c>
      <c r="N189" s="14" t="s">
        <v>79</v>
      </c>
      <c r="O189" s="15">
        <v>2022</v>
      </c>
      <c r="P189" s="15" t="s">
        <v>41</v>
      </c>
      <c r="Q189" s="15" t="s">
        <v>902</v>
      </c>
      <c r="R189" s="15" t="s">
        <v>63</v>
      </c>
      <c r="S189" s="15" t="s">
        <v>903</v>
      </c>
      <c r="T189" s="15">
        <v>417124</v>
      </c>
      <c r="U189" s="15" t="s">
        <v>45</v>
      </c>
      <c r="V189" s="15" t="s">
        <v>58</v>
      </c>
      <c r="W189" s="15" t="s">
        <v>46</v>
      </c>
      <c r="X189" s="15" t="s">
        <v>74</v>
      </c>
      <c r="Y189" s="15" t="s">
        <v>48</v>
      </c>
      <c r="Z189" s="15" t="s">
        <v>49</v>
      </c>
      <c r="AA189" s="15" t="s">
        <v>50</v>
      </c>
      <c r="AB189" s="15" t="s">
        <v>67</v>
      </c>
      <c r="AC189" s="15" t="s">
        <v>52</v>
      </c>
      <c r="AD189" s="15" t="s">
        <v>53</v>
      </c>
      <c r="AE189" s="15" t="s">
        <v>54</v>
      </c>
      <c r="AF189" s="15" t="s">
        <v>55</v>
      </c>
      <c r="AG189" s="15"/>
      <c r="AH189" s="14" t="str">
        <f>VLOOKUP(B189,[1]Sheet1!$A$2:$F$294,6,FALSE)</f>
        <v>无</v>
      </c>
      <c r="AI189" s="14">
        <f>VLOOKUP(B189,[1]Sheet1!$A$2:$F$294,4,FALSE)</f>
        <v>0</v>
      </c>
      <c r="AJ189" s="14" t="str">
        <f>VLOOKUP(B189,[1]Sheet1!$A$2:$F$294,5,FALSE)</f>
        <v>无</v>
      </c>
    </row>
    <row r="190" s="2" customFormat="1" ht="14.25" spans="1:36">
      <c r="A190" s="11">
        <v>189</v>
      </c>
      <c r="B190" s="12">
        <v>22408000320</v>
      </c>
      <c r="C190" s="13" t="s">
        <v>904</v>
      </c>
      <c r="D190" s="14" t="s">
        <v>887</v>
      </c>
      <c r="E190" s="41" t="s">
        <v>905</v>
      </c>
      <c r="F190" s="14">
        <v>18768871789</v>
      </c>
      <c r="G190" s="15">
        <v>18239995606</v>
      </c>
      <c r="H190" s="15">
        <v>18860376983</v>
      </c>
      <c r="I190" s="14" t="s">
        <v>58</v>
      </c>
      <c r="J190" s="15">
        <v>2022080003</v>
      </c>
      <c r="K190" s="16" t="s">
        <v>37</v>
      </c>
      <c r="L190" s="14" t="s">
        <v>59</v>
      </c>
      <c r="M190" s="14" t="s">
        <v>60</v>
      </c>
      <c r="N190" s="14" t="s">
        <v>629</v>
      </c>
      <c r="O190" s="15">
        <v>2022</v>
      </c>
      <c r="P190" s="15" t="s">
        <v>41</v>
      </c>
      <c r="Q190" s="15" t="s">
        <v>906</v>
      </c>
      <c r="R190" s="15" t="s">
        <v>43</v>
      </c>
      <c r="S190" s="15" t="s">
        <v>907</v>
      </c>
      <c r="T190" s="15">
        <v>452470</v>
      </c>
      <c r="U190" s="15" t="s">
        <v>202</v>
      </c>
      <c r="V190" s="15" t="s">
        <v>58</v>
      </c>
      <c r="W190" s="15" t="s">
        <v>46</v>
      </c>
      <c r="X190" s="15" t="s">
        <v>74</v>
      </c>
      <c r="Y190" s="15" t="s">
        <v>88</v>
      </c>
      <c r="Z190" s="15" t="s">
        <v>49</v>
      </c>
      <c r="AA190" s="15" t="s">
        <v>50</v>
      </c>
      <c r="AB190" s="15" t="s">
        <v>67</v>
      </c>
      <c r="AC190" s="15" t="s">
        <v>52</v>
      </c>
      <c r="AD190" s="15" t="s">
        <v>53</v>
      </c>
      <c r="AE190" s="15" t="s">
        <v>54</v>
      </c>
      <c r="AF190" s="15" t="s">
        <v>55</v>
      </c>
      <c r="AG190" s="15"/>
      <c r="AH190" s="14" t="str">
        <f>VLOOKUP(B190,[1]Sheet1!$A$2:$F$294,6,FALSE)</f>
        <v>一般困难</v>
      </c>
      <c r="AI190" s="14">
        <f>VLOOKUP(B190,[1]Sheet1!$A$2:$F$294,4,FALSE)</f>
        <v>0</v>
      </c>
      <c r="AJ190" s="14" t="str">
        <f>VLOOKUP(B190,[1]Sheet1!$A$2:$F$294,5,FALSE)</f>
        <v>无</v>
      </c>
    </row>
    <row r="191" s="2" customFormat="1" ht="14.25" spans="1:36">
      <c r="A191" s="11">
        <v>190</v>
      </c>
      <c r="B191" s="12">
        <v>22408000324</v>
      </c>
      <c r="C191" s="13" t="s">
        <v>908</v>
      </c>
      <c r="D191" s="14" t="s">
        <v>887</v>
      </c>
      <c r="E191" s="41" t="s">
        <v>909</v>
      </c>
      <c r="F191" s="14">
        <v>15096039420</v>
      </c>
      <c r="G191" s="15">
        <v>15211385495</v>
      </c>
      <c r="H191" s="15">
        <v>15096033759</v>
      </c>
      <c r="I191" s="14" t="s">
        <v>58</v>
      </c>
      <c r="J191" s="15">
        <v>2022080003</v>
      </c>
      <c r="K191" s="16" t="s">
        <v>37</v>
      </c>
      <c r="L191" s="14" t="s">
        <v>59</v>
      </c>
      <c r="M191" s="14" t="s">
        <v>60</v>
      </c>
      <c r="N191" s="14" t="s">
        <v>629</v>
      </c>
      <c r="O191" s="15">
        <v>2022</v>
      </c>
      <c r="P191" s="15" t="s">
        <v>41</v>
      </c>
      <c r="Q191" s="15" t="s">
        <v>140</v>
      </c>
      <c r="R191" s="15" t="s">
        <v>63</v>
      </c>
      <c r="S191" s="15" t="s">
        <v>910</v>
      </c>
      <c r="T191" s="15">
        <v>421400</v>
      </c>
      <c r="U191" s="15" t="s">
        <v>45</v>
      </c>
      <c r="V191" s="15" t="s">
        <v>58</v>
      </c>
      <c r="W191" s="15" t="s">
        <v>46</v>
      </c>
      <c r="X191" s="15" t="s">
        <v>74</v>
      </c>
      <c r="Y191" s="15" t="s">
        <v>611</v>
      </c>
      <c r="Z191" s="15" t="s">
        <v>49</v>
      </c>
      <c r="AA191" s="15" t="s">
        <v>50</v>
      </c>
      <c r="AB191" s="15" t="s">
        <v>67</v>
      </c>
      <c r="AC191" s="15" t="s">
        <v>52</v>
      </c>
      <c r="AD191" s="15" t="s">
        <v>53</v>
      </c>
      <c r="AE191" s="15" t="s">
        <v>54</v>
      </c>
      <c r="AF191" s="15" t="s">
        <v>55</v>
      </c>
      <c r="AG191" s="15"/>
      <c r="AH191" s="14" t="str">
        <f>VLOOKUP(B191,[1]Sheet1!$A$2:$F$294,6,FALSE)</f>
        <v>无</v>
      </c>
      <c r="AI191" s="14">
        <f>VLOOKUP(B191,[1]Sheet1!$A$2:$F$294,4,FALSE)</f>
        <v>0</v>
      </c>
      <c r="AJ191" s="14" t="str">
        <f>VLOOKUP(B191,[1]Sheet1!$A$2:$F$294,5,FALSE)</f>
        <v>无</v>
      </c>
    </row>
    <row r="192" s="2" customFormat="1" ht="14.25" spans="1:36">
      <c r="A192" s="11">
        <v>191</v>
      </c>
      <c r="B192" s="12">
        <v>22408000337</v>
      </c>
      <c r="C192" s="13" t="s">
        <v>911</v>
      </c>
      <c r="D192" s="14" t="s">
        <v>887</v>
      </c>
      <c r="E192" s="41" t="s">
        <v>912</v>
      </c>
      <c r="F192" s="14">
        <v>15045295463</v>
      </c>
      <c r="G192" s="15">
        <v>15045293770</v>
      </c>
      <c r="H192" s="15">
        <v>13796163720</v>
      </c>
      <c r="I192" s="14" t="s">
        <v>58</v>
      </c>
      <c r="J192" s="15">
        <v>2022080003</v>
      </c>
      <c r="K192" s="16" t="s">
        <v>37</v>
      </c>
      <c r="L192" s="14" t="s">
        <v>59</v>
      </c>
      <c r="M192" s="14" t="s">
        <v>60</v>
      </c>
      <c r="N192" s="14" t="s">
        <v>636</v>
      </c>
      <c r="O192" s="15">
        <v>2022</v>
      </c>
      <c r="P192" s="15" t="s">
        <v>41</v>
      </c>
      <c r="Q192" s="15" t="s">
        <v>913</v>
      </c>
      <c r="R192" s="15" t="s">
        <v>43</v>
      </c>
      <c r="S192" s="15" t="s">
        <v>914</v>
      </c>
      <c r="T192" s="15">
        <v>154899</v>
      </c>
      <c r="U192" s="15" t="s">
        <v>915</v>
      </c>
      <c r="V192" s="15" t="s">
        <v>58</v>
      </c>
      <c r="W192" s="15" t="s">
        <v>46</v>
      </c>
      <c r="X192" s="15" t="s">
        <v>47</v>
      </c>
      <c r="Y192" s="15" t="s">
        <v>47</v>
      </c>
      <c r="Z192" s="15" t="s">
        <v>49</v>
      </c>
      <c r="AA192" s="15" t="s">
        <v>50</v>
      </c>
      <c r="AB192" s="15" t="s">
        <v>67</v>
      </c>
      <c r="AC192" s="15" t="s">
        <v>52</v>
      </c>
      <c r="AD192" s="15" t="s">
        <v>53</v>
      </c>
      <c r="AE192" s="15" t="s">
        <v>54</v>
      </c>
      <c r="AF192" s="15" t="s">
        <v>55</v>
      </c>
      <c r="AG192" s="15"/>
      <c r="AH192" s="14" t="str">
        <f>VLOOKUP(B192,[1]Sheet1!$A$2:$F$294,6,FALSE)</f>
        <v>无</v>
      </c>
      <c r="AI192" s="14">
        <f>VLOOKUP(B192,[1]Sheet1!$A$2:$F$294,4,FALSE)</f>
        <v>0</v>
      </c>
      <c r="AJ192" s="14" t="str">
        <f>VLOOKUP(B192,[1]Sheet1!$A$2:$F$294,5,FALSE)</f>
        <v>无</v>
      </c>
    </row>
    <row r="193" s="2" customFormat="1" ht="14.25" spans="1:36">
      <c r="A193" s="11">
        <v>192</v>
      </c>
      <c r="B193" s="12">
        <v>22408000338</v>
      </c>
      <c r="C193" s="13" t="s">
        <v>916</v>
      </c>
      <c r="D193" s="14" t="s">
        <v>887</v>
      </c>
      <c r="E193" s="41" t="s">
        <v>917</v>
      </c>
      <c r="F193" s="14">
        <v>15866810857</v>
      </c>
      <c r="G193" s="15">
        <v>15866880857</v>
      </c>
      <c r="H193" s="15">
        <v>15866889157</v>
      </c>
      <c r="I193" s="14" t="s">
        <v>58</v>
      </c>
      <c r="J193" s="15">
        <v>2022080003</v>
      </c>
      <c r="K193" s="16" t="s">
        <v>37</v>
      </c>
      <c r="L193" s="14" t="s">
        <v>59</v>
      </c>
      <c r="M193" s="14" t="s">
        <v>60</v>
      </c>
      <c r="N193" s="14" t="s">
        <v>636</v>
      </c>
      <c r="O193" s="15">
        <v>2022</v>
      </c>
      <c r="P193" s="15" t="s">
        <v>41</v>
      </c>
      <c r="Q193" s="15" t="s">
        <v>145</v>
      </c>
      <c r="R193" s="15" t="s">
        <v>63</v>
      </c>
      <c r="S193" s="15" t="s">
        <v>918</v>
      </c>
      <c r="T193" s="15">
        <v>266200</v>
      </c>
      <c r="U193" s="15" t="s">
        <v>147</v>
      </c>
      <c r="V193" s="15" t="s">
        <v>58</v>
      </c>
      <c r="W193" s="15" t="s">
        <v>46</v>
      </c>
      <c r="X193" s="15" t="s">
        <v>74</v>
      </c>
      <c r="Y193" s="15" t="s">
        <v>47</v>
      </c>
      <c r="Z193" s="15" t="s">
        <v>49</v>
      </c>
      <c r="AA193" s="15" t="s">
        <v>50</v>
      </c>
      <c r="AB193" s="15" t="s">
        <v>67</v>
      </c>
      <c r="AC193" s="15" t="s">
        <v>52</v>
      </c>
      <c r="AD193" s="15" t="s">
        <v>53</v>
      </c>
      <c r="AE193" s="15" t="s">
        <v>54</v>
      </c>
      <c r="AF193" s="15" t="s">
        <v>55</v>
      </c>
      <c r="AG193" s="15"/>
      <c r="AH193" s="14" t="str">
        <f>VLOOKUP(B193,[1]Sheet1!$A$2:$F$294,6,FALSE)</f>
        <v>无</v>
      </c>
      <c r="AI193" s="14">
        <f>VLOOKUP(B193,[1]Sheet1!$A$2:$F$294,4,FALSE)</f>
        <v>0</v>
      </c>
      <c r="AJ193" s="14" t="str">
        <f>VLOOKUP(B193,[1]Sheet1!$A$2:$F$294,5,FALSE)</f>
        <v>无</v>
      </c>
    </row>
    <row r="194" s="2" customFormat="1" ht="14.25" spans="1:36">
      <c r="A194" s="11">
        <v>193</v>
      </c>
      <c r="B194" s="12">
        <v>22408000342</v>
      </c>
      <c r="C194" s="13" t="s">
        <v>919</v>
      </c>
      <c r="D194" s="14" t="s">
        <v>887</v>
      </c>
      <c r="E194" s="41" t="s">
        <v>920</v>
      </c>
      <c r="F194" s="14">
        <v>17267646163</v>
      </c>
      <c r="G194" s="15">
        <v>13467881720</v>
      </c>
      <c r="H194" s="15">
        <v>18173808592</v>
      </c>
      <c r="I194" s="14" t="s">
        <v>58</v>
      </c>
      <c r="J194" s="15">
        <v>2022080003</v>
      </c>
      <c r="K194" s="16" t="s">
        <v>37</v>
      </c>
      <c r="L194" s="14" t="s">
        <v>59</v>
      </c>
      <c r="M194" s="14" t="s">
        <v>60</v>
      </c>
      <c r="N194" s="14" t="s">
        <v>109</v>
      </c>
      <c r="O194" s="15">
        <v>2022</v>
      </c>
      <c r="P194" s="15" t="s">
        <v>41</v>
      </c>
      <c r="Q194" s="15" t="s">
        <v>183</v>
      </c>
      <c r="R194" s="15" t="s">
        <v>43</v>
      </c>
      <c r="S194" s="15" t="s">
        <v>921</v>
      </c>
      <c r="T194" s="15">
        <v>417715</v>
      </c>
      <c r="U194" s="15" t="s">
        <v>45</v>
      </c>
      <c r="V194" s="15" t="s">
        <v>58</v>
      </c>
      <c r="W194" s="15" t="s">
        <v>46</v>
      </c>
      <c r="X194" s="15" t="s">
        <v>74</v>
      </c>
      <c r="Y194" s="15" t="s">
        <v>47</v>
      </c>
      <c r="Z194" s="15" t="s">
        <v>49</v>
      </c>
      <c r="AA194" s="15" t="s">
        <v>50</v>
      </c>
      <c r="AB194" s="15" t="s">
        <v>67</v>
      </c>
      <c r="AC194" s="15" t="s">
        <v>52</v>
      </c>
      <c r="AD194" s="15" t="s">
        <v>53</v>
      </c>
      <c r="AE194" s="15" t="s">
        <v>54</v>
      </c>
      <c r="AF194" s="15" t="s">
        <v>55</v>
      </c>
      <c r="AG194" s="15"/>
      <c r="AH194" s="14" t="str">
        <f>VLOOKUP(B194,[1]Sheet1!$A$2:$F$294,6,FALSE)</f>
        <v>无</v>
      </c>
      <c r="AI194" s="14">
        <f>VLOOKUP(B194,[1]Sheet1!$A$2:$F$294,4,FALSE)</f>
        <v>0</v>
      </c>
      <c r="AJ194" s="14" t="str">
        <f>VLOOKUP(B194,[1]Sheet1!$A$2:$F$294,5,FALSE)</f>
        <v>无</v>
      </c>
    </row>
    <row r="195" s="2" customFormat="1" ht="14.25" spans="1:36">
      <c r="A195" s="11">
        <v>194</v>
      </c>
      <c r="B195" s="12">
        <v>22408000405</v>
      </c>
      <c r="C195" s="13" t="s">
        <v>922</v>
      </c>
      <c r="D195" s="14" t="s">
        <v>887</v>
      </c>
      <c r="E195" s="41" t="s">
        <v>923</v>
      </c>
      <c r="F195" s="14">
        <v>18729547549</v>
      </c>
      <c r="G195" s="15">
        <v>13186129016</v>
      </c>
      <c r="H195" s="15">
        <v>15891481639</v>
      </c>
      <c r="I195" s="14" t="s">
        <v>58</v>
      </c>
      <c r="J195" s="15">
        <v>2022080004</v>
      </c>
      <c r="K195" s="16" t="s">
        <v>123</v>
      </c>
      <c r="L195" s="14" t="s">
        <v>59</v>
      </c>
      <c r="M195" s="14" t="s">
        <v>60</v>
      </c>
      <c r="N195" s="14" t="s">
        <v>753</v>
      </c>
      <c r="O195" s="15">
        <v>2022</v>
      </c>
      <c r="P195" s="15" t="s">
        <v>41</v>
      </c>
      <c r="Q195" s="15" t="s">
        <v>924</v>
      </c>
      <c r="R195" s="15" t="s">
        <v>63</v>
      </c>
      <c r="S195" s="15" t="s">
        <v>925</v>
      </c>
      <c r="T195" s="15">
        <v>710600</v>
      </c>
      <c r="U195" s="15" t="s">
        <v>190</v>
      </c>
      <c r="V195" s="15" t="s">
        <v>58</v>
      </c>
      <c r="W195" s="15" t="s">
        <v>46</v>
      </c>
      <c r="X195" s="15" t="s">
        <v>47</v>
      </c>
      <c r="Y195" s="15" t="s">
        <v>47</v>
      </c>
      <c r="Z195" s="15" t="s">
        <v>49</v>
      </c>
      <c r="AA195" s="15" t="s">
        <v>50</v>
      </c>
      <c r="AB195" s="15" t="s">
        <v>67</v>
      </c>
      <c r="AC195" s="15" t="s">
        <v>52</v>
      </c>
      <c r="AD195" s="15" t="s">
        <v>53</v>
      </c>
      <c r="AE195" s="15" t="s">
        <v>54</v>
      </c>
      <c r="AF195" s="15" t="s">
        <v>55</v>
      </c>
      <c r="AG195" s="15"/>
      <c r="AH195" s="14" t="str">
        <f>VLOOKUP(B195,[1]Sheet1!$A$2:$F$294,6,FALSE)</f>
        <v>无</v>
      </c>
      <c r="AI195" s="14">
        <f>VLOOKUP(B195,[1]Sheet1!$A$2:$F$294,4,FALSE)</f>
        <v>0</v>
      </c>
      <c r="AJ195" s="14" t="str">
        <f>VLOOKUP(B195,[1]Sheet1!$A$2:$F$294,5,FALSE)</f>
        <v>无</v>
      </c>
    </row>
    <row r="196" s="2" customFormat="1" ht="14.25" spans="1:36">
      <c r="A196" s="11">
        <v>195</v>
      </c>
      <c r="B196" s="12">
        <v>22408000407</v>
      </c>
      <c r="C196" s="13" t="s">
        <v>926</v>
      </c>
      <c r="D196" s="14" t="s">
        <v>887</v>
      </c>
      <c r="E196" s="41" t="s">
        <v>927</v>
      </c>
      <c r="F196" s="14">
        <v>13469446236</v>
      </c>
      <c r="G196" s="15">
        <v>18711409965</v>
      </c>
      <c r="H196" s="15" t="s">
        <v>239</v>
      </c>
      <c r="I196" s="14" t="s">
        <v>58</v>
      </c>
      <c r="J196" s="15">
        <v>2022080004</v>
      </c>
      <c r="K196" s="16" t="s">
        <v>123</v>
      </c>
      <c r="L196" s="14" t="s">
        <v>59</v>
      </c>
      <c r="M196" s="14" t="s">
        <v>60</v>
      </c>
      <c r="N196" s="14" t="s">
        <v>753</v>
      </c>
      <c r="O196" s="15">
        <v>2022</v>
      </c>
      <c r="P196" s="15" t="s">
        <v>41</v>
      </c>
      <c r="Q196" s="15" t="s">
        <v>140</v>
      </c>
      <c r="R196" s="15" t="s">
        <v>63</v>
      </c>
      <c r="S196" s="15" t="s">
        <v>928</v>
      </c>
      <c r="T196" s="15">
        <v>421800</v>
      </c>
      <c r="U196" s="15" t="s">
        <v>45</v>
      </c>
      <c r="V196" s="15" t="s">
        <v>58</v>
      </c>
      <c r="W196" s="15" t="s">
        <v>46</v>
      </c>
      <c r="X196" s="15" t="s">
        <v>74</v>
      </c>
      <c r="Y196" s="15" t="s">
        <v>126</v>
      </c>
      <c r="Z196" s="15" t="s">
        <v>49</v>
      </c>
      <c r="AA196" s="15" t="s">
        <v>50</v>
      </c>
      <c r="AB196" s="15" t="s">
        <v>612</v>
      </c>
      <c r="AC196" s="15" t="s">
        <v>52</v>
      </c>
      <c r="AD196" s="15" t="s">
        <v>53</v>
      </c>
      <c r="AE196" s="15" t="s">
        <v>54</v>
      </c>
      <c r="AF196" s="15" t="s">
        <v>55</v>
      </c>
      <c r="AG196" s="15"/>
      <c r="AH196" s="14" t="str">
        <f>VLOOKUP(B196,[1]Sheet1!$A$2:$F$294,6,FALSE)</f>
        <v>无</v>
      </c>
      <c r="AI196" s="14">
        <f>VLOOKUP(B196,[1]Sheet1!$A$2:$F$294,4,FALSE)</f>
        <v>0</v>
      </c>
      <c r="AJ196" s="14" t="str">
        <f>VLOOKUP(B196,[1]Sheet1!$A$2:$F$294,5,FALSE)</f>
        <v>无</v>
      </c>
    </row>
    <row r="197" s="2" customFormat="1" ht="14.25" spans="1:36">
      <c r="A197" s="11">
        <v>196</v>
      </c>
      <c r="B197" s="12">
        <v>22408000426</v>
      </c>
      <c r="C197" s="13" t="s">
        <v>929</v>
      </c>
      <c r="D197" s="14" t="s">
        <v>887</v>
      </c>
      <c r="E197" s="41" t="s">
        <v>930</v>
      </c>
      <c r="F197" s="14">
        <v>15507384162</v>
      </c>
      <c r="G197" s="15">
        <v>15973837331</v>
      </c>
      <c r="H197" s="15">
        <v>18711887902</v>
      </c>
      <c r="I197" s="14" t="s">
        <v>58</v>
      </c>
      <c r="J197" s="15">
        <v>2022080004</v>
      </c>
      <c r="K197" s="16" t="s">
        <v>123</v>
      </c>
      <c r="L197" s="14" t="s">
        <v>59</v>
      </c>
      <c r="M197" s="14" t="s">
        <v>60</v>
      </c>
      <c r="N197" s="14" t="s">
        <v>656</v>
      </c>
      <c r="O197" s="15">
        <v>2022</v>
      </c>
      <c r="P197" s="15" t="s">
        <v>41</v>
      </c>
      <c r="Q197" s="15" t="s">
        <v>637</v>
      </c>
      <c r="R197" s="15" t="s">
        <v>63</v>
      </c>
      <c r="S197" s="15" t="s">
        <v>931</v>
      </c>
      <c r="T197" s="15">
        <v>417600</v>
      </c>
      <c r="U197" s="15" t="s">
        <v>45</v>
      </c>
      <c r="V197" s="15" t="s">
        <v>58</v>
      </c>
      <c r="W197" s="15" t="s">
        <v>46</v>
      </c>
      <c r="X197" s="15" t="s">
        <v>74</v>
      </c>
      <c r="Y197" s="15" t="s">
        <v>136</v>
      </c>
      <c r="Z197" s="15" t="s">
        <v>75</v>
      </c>
      <c r="AA197" s="15" t="s">
        <v>50</v>
      </c>
      <c r="AB197" s="15" t="s">
        <v>67</v>
      </c>
      <c r="AC197" s="15" t="s">
        <v>101</v>
      </c>
      <c r="AD197" s="15" t="s">
        <v>53</v>
      </c>
      <c r="AE197" s="15" t="s">
        <v>54</v>
      </c>
      <c r="AF197" s="15" t="s">
        <v>55</v>
      </c>
      <c r="AG197" s="15"/>
      <c r="AH197" s="14" t="str">
        <f>VLOOKUP(B197,[1]Sheet1!$A$2:$F$294,6,FALSE)</f>
        <v>无</v>
      </c>
      <c r="AI197" s="14">
        <f>VLOOKUP(B197,[1]Sheet1!$A$2:$F$294,4,FALSE)</f>
        <v>0</v>
      </c>
      <c r="AJ197" s="14" t="str">
        <f>VLOOKUP(B197,[1]Sheet1!$A$2:$F$294,5,FALSE)</f>
        <v>无</v>
      </c>
    </row>
    <row r="198" s="2" customFormat="1" ht="14.25" spans="1:36">
      <c r="A198" s="11">
        <v>197</v>
      </c>
      <c r="B198" s="12">
        <v>22408000430</v>
      </c>
      <c r="C198" s="13" t="s">
        <v>932</v>
      </c>
      <c r="D198" s="14" t="s">
        <v>887</v>
      </c>
      <c r="E198" s="41" t="s">
        <v>933</v>
      </c>
      <c r="F198" s="14">
        <v>13630025597</v>
      </c>
      <c r="G198" s="15">
        <v>15815973978</v>
      </c>
      <c r="H198" s="15">
        <v>15015848385</v>
      </c>
      <c r="I198" s="14" t="s">
        <v>58</v>
      </c>
      <c r="J198" s="15">
        <v>2022080004</v>
      </c>
      <c r="K198" s="16" t="s">
        <v>123</v>
      </c>
      <c r="L198" s="14" t="s">
        <v>59</v>
      </c>
      <c r="M198" s="14" t="s">
        <v>60</v>
      </c>
      <c r="N198" s="14" t="s">
        <v>129</v>
      </c>
      <c r="O198" s="15">
        <v>2022</v>
      </c>
      <c r="P198" s="15" t="s">
        <v>41</v>
      </c>
      <c r="Q198" s="15" t="s">
        <v>104</v>
      </c>
      <c r="R198" s="15" t="s">
        <v>43</v>
      </c>
      <c r="S198" s="15" t="s">
        <v>934</v>
      </c>
      <c r="T198" s="15">
        <v>528322</v>
      </c>
      <c r="U198" s="15" t="s">
        <v>935</v>
      </c>
      <c r="V198" s="15" t="s">
        <v>58</v>
      </c>
      <c r="W198" s="15" t="s">
        <v>46</v>
      </c>
      <c r="X198" s="15" t="s">
        <v>74</v>
      </c>
      <c r="Y198" s="15" t="s">
        <v>47</v>
      </c>
      <c r="Z198" s="15" t="s">
        <v>49</v>
      </c>
      <c r="AA198" s="15" t="s">
        <v>50</v>
      </c>
      <c r="AB198" s="15" t="s">
        <v>67</v>
      </c>
      <c r="AC198" s="15" t="s">
        <v>52</v>
      </c>
      <c r="AD198" s="15" t="s">
        <v>53</v>
      </c>
      <c r="AE198" s="15" t="s">
        <v>54</v>
      </c>
      <c r="AF198" s="15" t="s">
        <v>55</v>
      </c>
      <c r="AG198" s="15"/>
      <c r="AH198" s="14" t="str">
        <f>VLOOKUP(B198,[1]Sheet1!$A$2:$F$294,6,FALSE)</f>
        <v>无</v>
      </c>
      <c r="AI198" s="14">
        <f>VLOOKUP(B198,[1]Sheet1!$A$2:$F$294,4,FALSE)</f>
        <v>0</v>
      </c>
      <c r="AJ198" s="14" t="str">
        <f>VLOOKUP(B198,[1]Sheet1!$A$2:$F$294,5,FALSE)</f>
        <v>无</v>
      </c>
    </row>
    <row r="199" s="2" customFormat="1" ht="14.25" spans="1:36">
      <c r="A199" s="11">
        <v>198</v>
      </c>
      <c r="B199" s="12">
        <v>22408000432</v>
      </c>
      <c r="C199" s="13" t="s">
        <v>936</v>
      </c>
      <c r="D199" s="14" t="s">
        <v>887</v>
      </c>
      <c r="E199" s="41" t="s">
        <v>937</v>
      </c>
      <c r="F199" s="14">
        <v>15604670176</v>
      </c>
      <c r="G199" s="15">
        <v>18345223393</v>
      </c>
      <c r="H199" s="15">
        <v>17267646085</v>
      </c>
      <c r="I199" s="14" t="s">
        <v>58</v>
      </c>
      <c r="J199" s="15">
        <v>2022080004</v>
      </c>
      <c r="K199" s="16" t="s">
        <v>123</v>
      </c>
      <c r="L199" s="14" t="s">
        <v>59</v>
      </c>
      <c r="M199" s="14" t="s">
        <v>60</v>
      </c>
      <c r="N199" s="14" t="s">
        <v>139</v>
      </c>
      <c r="O199" s="15">
        <v>2022</v>
      </c>
      <c r="P199" s="15" t="s">
        <v>41</v>
      </c>
      <c r="Q199" s="15" t="s">
        <v>938</v>
      </c>
      <c r="R199" s="15" t="s">
        <v>43</v>
      </c>
      <c r="S199" s="15" t="s">
        <v>939</v>
      </c>
      <c r="T199" s="15">
        <v>158313</v>
      </c>
      <c r="U199" s="15" t="s">
        <v>915</v>
      </c>
      <c r="V199" s="15" t="s">
        <v>58</v>
      </c>
      <c r="W199" s="15" t="s">
        <v>46</v>
      </c>
      <c r="X199" s="15" t="s">
        <v>74</v>
      </c>
      <c r="Y199" s="15" t="s">
        <v>47</v>
      </c>
      <c r="Z199" s="15" t="s">
        <v>49</v>
      </c>
      <c r="AA199" s="15" t="s">
        <v>100</v>
      </c>
      <c r="AB199" s="15" t="s">
        <v>67</v>
      </c>
      <c r="AC199" s="15" t="s">
        <v>101</v>
      </c>
      <c r="AD199" s="15" t="s">
        <v>53</v>
      </c>
      <c r="AE199" s="15" t="s">
        <v>54</v>
      </c>
      <c r="AF199" s="15" t="s">
        <v>55</v>
      </c>
      <c r="AG199" s="15"/>
      <c r="AH199" s="14" t="str">
        <f>VLOOKUP(B199,[1]Sheet1!$A$2:$F$294,6,FALSE)</f>
        <v>无</v>
      </c>
      <c r="AI199" s="14">
        <f>VLOOKUP(B199,[1]Sheet1!$A$2:$F$294,4,FALSE)</f>
        <v>0</v>
      </c>
      <c r="AJ199" s="14" t="str">
        <f>VLOOKUP(B199,[1]Sheet1!$A$2:$F$294,5,FALSE)</f>
        <v>无</v>
      </c>
    </row>
    <row r="200" s="2" customFormat="1" ht="14.25" spans="1:36">
      <c r="A200" s="11">
        <v>199</v>
      </c>
      <c r="B200" s="12">
        <v>22408000441</v>
      </c>
      <c r="C200" s="13" t="s">
        <v>940</v>
      </c>
      <c r="D200" s="14" t="s">
        <v>887</v>
      </c>
      <c r="E200" s="41" t="s">
        <v>941</v>
      </c>
      <c r="F200" s="14">
        <v>19967217093</v>
      </c>
      <c r="G200" s="15" t="s">
        <v>239</v>
      </c>
      <c r="H200" s="15">
        <v>15173249183</v>
      </c>
      <c r="I200" s="14" t="s">
        <v>58</v>
      </c>
      <c r="J200" s="15">
        <v>2022080004</v>
      </c>
      <c r="K200" s="16" t="s">
        <v>123</v>
      </c>
      <c r="L200" s="14" t="s">
        <v>59</v>
      </c>
      <c r="M200" s="14" t="s">
        <v>60</v>
      </c>
      <c r="N200" s="14" t="s">
        <v>942</v>
      </c>
      <c r="O200" s="15">
        <v>2022</v>
      </c>
      <c r="P200" s="15" t="s">
        <v>41</v>
      </c>
      <c r="Q200" s="15" t="s">
        <v>367</v>
      </c>
      <c r="R200" s="15" t="s">
        <v>63</v>
      </c>
      <c r="S200" s="15" t="s">
        <v>943</v>
      </c>
      <c r="T200" s="15">
        <v>411200</v>
      </c>
      <c r="U200" s="15" t="s">
        <v>45</v>
      </c>
      <c r="V200" s="15" t="s">
        <v>58</v>
      </c>
      <c r="W200" s="15" t="s">
        <v>46</v>
      </c>
      <c r="X200" s="15" t="s">
        <v>47</v>
      </c>
      <c r="Y200" s="15" t="s">
        <v>132</v>
      </c>
      <c r="Z200" s="15" t="s">
        <v>49</v>
      </c>
      <c r="AA200" s="15" t="s">
        <v>160</v>
      </c>
      <c r="AB200" s="15" t="s">
        <v>67</v>
      </c>
      <c r="AC200" s="15" t="s">
        <v>398</v>
      </c>
      <c r="AD200" s="15" t="s">
        <v>53</v>
      </c>
      <c r="AE200" s="15" t="s">
        <v>54</v>
      </c>
      <c r="AF200" s="15" t="s">
        <v>55</v>
      </c>
      <c r="AG200" s="15"/>
      <c r="AH200" s="14" t="str">
        <f>VLOOKUP(B200,[1]Sheet1!$A$2:$F$294,6,FALSE)</f>
        <v>特别困难</v>
      </c>
      <c r="AI200" s="14">
        <f>VLOOKUP(B200,[1]Sheet1!$A$2:$F$294,4,FALSE)</f>
        <v>0</v>
      </c>
      <c r="AJ200" s="14" t="str">
        <f>VLOOKUP(B200,[1]Sheet1!$A$2:$F$294,5,FALSE)</f>
        <v>无</v>
      </c>
    </row>
    <row r="201" s="2" customFormat="1" ht="14.25" spans="1:36">
      <c r="A201" s="11">
        <v>200</v>
      </c>
      <c r="B201" s="12">
        <v>22408000705</v>
      </c>
      <c r="C201" s="13" t="s">
        <v>944</v>
      </c>
      <c r="D201" s="14" t="s">
        <v>887</v>
      </c>
      <c r="E201" s="41" t="s">
        <v>945</v>
      </c>
      <c r="F201" s="14">
        <v>19184690656</v>
      </c>
      <c r="G201" s="15">
        <v>15007361080</v>
      </c>
      <c r="H201" s="15">
        <v>18670627468</v>
      </c>
      <c r="I201" s="14" t="s">
        <v>58</v>
      </c>
      <c r="J201" s="15">
        <v>2022080007</v>
      </c>
      <c r="K201" s="16" t="s">
        <v>297</v>
      </c>
      <c r="L201" s="14" t="s">
        <v>59</v>
      </c>
      <c r="M201" s="14" t="s">
        <v>206</v>
      </c>
      <c r="N201" s="14" t="s">
        <v>308</v>
      </c>
      <c r="O201" s="15">
        <v>2022</v>
      </c>
      <c r="P201" s="15" t="s">
        <v>41</v>
      </c>
      <c r="Q201" s="15" t="s">
        <v>946</v>
      </c>
      <c r="R201" s="15" t="s">
        <v>43</v>
      </c>
      <c r="S201" s="15" t="s">
        <v>947</v>
      </c>
      <c r="T201" s="15">
        <v>562400</v>
      </c>
      <c r="U201" s="15" t="s">
        <v>518</v>
      </c>
      <c r="V201" s="15" t="s">
        <v>58</v>
      </c>
      <c r="W201" s="15" t="s">
        <v>41</v>
      </c>
      <c r="X201" s="15" t="s">
        <v>74</v>
      </c>
      <c r="Y201" s="15" t="s">
        <v>948</v>
      </c>
      <c r="Z201" s="15" t="s">
        <v>49</v>
      </c>
      <c r="AA201" s="15" t="s">
        <v>50</v>
      </c>
      <c r="AB201" s="15" t="s">
        <v>67</v>
      </c>
      <c r="AC201" s="15" t="s">
        <v>52</v>
      </c>
      <c r="AD201" s="15" t="s">
        <v>53</v>
      </c>
      <c r="AE201" s="15" t="s">
        <v>54</v>
      </c>
      <c r="AF201" s="15" t="s">
        <v>55</v>
      </c>
      <c r="AG201" s="15"/>
      <c r="AH201" s="14" t="str">
        <f>VLOOKUP(B201,[1]Sheet1!$A$2:$F$294,6,FALSE)</f>
        <v>无</v>
      </c>
      <c r="AI201" s="14">
        <f>VLOOKUP(B201,[1]Sheet1!$A$2:$F$294,4,FALSE)</f>
        <v>0</v>
      </c>
      <c r="AJ201" s="14" t="str">
        <f>VLOOKUP(B201,[1]Sheet1!$A$2:$F$294,5,FALSE)</f>
        <v>无</v>
      </c>
    </row>
    <row r="202" s="2" customFormat="1" ht="14.25" spans="1:36">
      <c r="A202" s="11">
        <v>201</v>
      </c>
      <c r="B202" s="12">
        <v>22408000711</v>
      </c>
      <c r="C202" s="13" t="s">
        <v>949</v>
      </c>
      <c r="D202" s="14" t="s">
        <v>887</v>
      </c>
      <c r="E202" s="41" t="s">
        <v>950</v>
      </c>
      <c r="F202" s="14">
        <v>15673570210</v>
      </c>
      <c r="G202" s="15">
        <v>15160389236</v>
      </c>
      <c r="H202" s="15">
        <v>18359897951</v>
      </c>
      <c r="I202" s="14" t="s">
        <v>58</v>
      </c>
      <c r="J202" s="15">
        <v>2022080007</v>
      </c>
      <c r="K202" s="16" t="s">
        <v>297</v>
      </c>
      <c r="L202" s="14" t="s">
        <v>59</v>
      </c>
      <c r="M202" s="14" t="s">
        <v>206</v>
      </c>
      <c r="N202" s="14" t="s">
        <v>824</v>
      </c>
      <c r="O202" s="15">
        <v>2022</v>
      </c>
      <c r="P202" s="15" t="s">
        <v>41</v>
      </c>
      <c r="Q202" s="15" t="s">
        <v>834</v>
      </c>
      <c r="R202" s="15" t="s">
        <v>63</v>
      </c>
      <c r="S202" s="15" t="s">
        <v>951</v>
      </c>
      <c r="T202" s="15">
        <v>422899</v>
      </c>
      <c r="U202" s="15" t="s">
        <v>45</v>
      </c>
      <c r="V202" s="15" t="s">
        <v>58</v>
      </c>
      <c r="W202" s="15" t="s">
        <v>41</v>
      </c>
      <c r="X202" s="15" t="s">
        <v>74</v>
      </c>
      <c r="Y202" s="15" t="s">
        <v>257</v>
      </c>
      <c r="Z202" s="15" t="s">
        <v>49</v>
      </c>
      <c r="AA202" s="15" t="s">
        <v>50</v>
      </c>
      <c r="AB202" s="15" t="s">
        <v>67</v>
      </c>
      <c r="AC202" s="15" t="s">
        <v>52</v>
      </c>
      <c r="AD202" s="15" t="s">
        <v>53</v>
      </c>
      <c r="AE202" s="15" t="s">
        <v>54</v>
      </c>
      <c r="AF202" s="15" t="s">
        <v>55</v>
      </c>
      <c r="AG202" s="15"/>
      <c r="AH202" s="14" t="str">
        <f>VLOOKUP(B202,[1]Sheet1!$A$2:$F$294,6,FALSE)</f>
        <v>无</v>
      </c>
      <c r="AI202" s="14">
        <f>VLOOKUP(B202,[1]Sheet1!$A$2:$F$294,4,FALSE)</f>
        <v>1</v>
      </c>
      <c r="AJ202" s="14" t="str">
        <f>VLOOKUP(B202,[1]Sheet1!$A$2:$F$294,5,FALSE)</f>
        <v>Linux操作系统</v>
      </c>
    </row>
    <row r="203" s="2" customFormat="1" ht="14.25" spans="1:36">
      <c r="A203" s="11">
        <v>202</v>
      </c>
      <c r="B203" s="12">
        <v>22408000721</v>
      </c>
      <c r="C203" s="13" t="s">
        <v>952</v>
      </c>
      <c r="D203" s="14" t="s">
        <v>887</v>
      </c>
      <c r="E203" s="41" t="s">
        <v>953</v>
      </c>
      <c r="F203" s="14">
        <v>15200626071</v>
      </c>
      <c r="G203" s="15">
        <v>13612772858</v>
      </c>
      <c r="H203" s="15">
        <v>13650132981</v>
      </c>
      <c r="I203" s="14" t="s">
        <v>58</v>
      </c>
      <c r="J203" s="15">
        <v>2022080007</v>
      </c>
      <c r="K203" s="16" t="s">
        <v>297</v>
      </c>
      <c r="L203" s="14" t="s">
        <v>59</v>
      </c>
      <c r="M203" s="14" t="s">
        <v>206</v>
      </c>
      <c r="N203" s="14" t="s">
        <v>321</v>
      </c>
      <c r="O203" s="15">
        <v>2022</v>
      </c>
      <c r="P203" s="15" t="s">
        <v>434</v>
      </c>
      <c r="Q203" s="15" t="s">
        <v>158</v>
      </c>
      <c r="R203" s="15" t="s">
        <v>63</v>
      </c>
      <c r="S203" s="15" t="s">
        <v>954</v>
      </c>
      <c r="T203" s="15">
        <v>415300</v>
      </c>
      <c r="U203" s="15" t="s">
        <v>45</v>
      </c>
      <c r="V203" s="15" t="s">
        <v>58</v>
      </c>
      <c r="W203" s="15" t="s">
        <v>434</v>
      </c>
      <c r="X203" s="15" t="s">
        <v>74</v>
      </c>
      <c r="Y203" s="15" t="s">
        <v>257</v>
      </c>
      <c r="Z203" s="15" t="s">
        <v>75</v>
      </c>
      <c r="AA203" s="15" t="s">
        <v>160</v>
      </c>
      <c r="AB203" s="15" t="s">
        <v>67</v>
      </c>
      <c r="AC203" s="15" t="s">
        <v>52</v>
      </c>
      <c r="AD203" s="15" t="s">
        <v>53</v>
      </c>
      <c r="AE203" s="15" t="s">
        <v>54</v>
      </c>
      <c r="AF203" s="15" t="s">
        <v>55</v>
      </c>
      <c r="AG203" s="15"/>
      <c r="AH203" s="14" t="str">
        <f>VLOOKUP(B203,[1]Sheet1!$A$2:$F$294,6,FALSE)</f>
        <v>无</v>
      </c>
      <c r="AI203" s="14">
        <f>VLOOKUP(B203,[1]Sheet1!$A$2:$F$294,4,FALSE)</f>
        <v>0</v>
      </c>
      <c r="AJ203" s="14" t="str">
        <f>VLOOKUP(B203,[1]Sheet1!$A$2:$F$294,5,FALSE)</f>
        <v>无</v>
      </c>
    </row>
    <row r="204" s="2" customFormat="1" ht="14.25" spans="1:36">
      <c r="A204" s="11">
        <v>203</v>
      </c>
      <c r="B204" s="12">
        <v>22408000724</v>
      </c>
      <c r="C204" s="13" t="s">
        <v>955</v>
      </c>
      <c r="D204" s="14" t="s">
        <v>887</v>
      </c>
      <c r="E204" s="41" t="s">
        <v>956</v>
      </c>
      <c r="F204" s="14">
        <v>13732708347</v>
      </c>
      <c r="G204" s="15">
        <v>15873652922</v>
      </c>
      <c r="H204" s="15">
        <v>13873698512</v>
      </c>
      <c r="I204" s="14" t="s">
        <v>58</v>
      </c>
      <c r="J204" s="15">
        <v>2022080007</v>
      </c>
      <c r="K204" s="16" t="s">
        <v>297</v>
      </c>
      <c r="L204" s="14" t="s">
        <v>59</v>
      </c>
      <c r="M204" s="14" t="s">
        <v>206</v>
      </c>
      <c r="N204" s="14" t="s">
        <v>326</v>
      </c>
      <c r="O204" s="15">
        <v>2022</v>
      </c>
      <c r="P204" s="15" t="s">
        <v>41</v>
      </c>
      <c r="Q204" s="15" t="s">
        <v>957</v>
      </c>
      <c r="R204" s="15" t="s">
        <v>63</v>
      </c>
      <c r="S204" s="15" t="s">
        <v>958</v>
      </c>
      <c r="T204" s="15">
        <v>655400</v>
      </c>
      <c r="U204" s="15" t="s">
        <v>196</v>
      </c>
      <c r="V204" s="15" t="s">
        <v>58</v>
      </c>
      <c r="W204" s="15" t="s">
        <v>41</v>
      </c>
      <c r="X204" s="15" t="s">
        <v>74</v>
      </c>
      <c r="Y204" s="15" t="s">
        <v>47</v>
      </c>
      <c r="Z204" s="15" t="s">
        <v>49</v>
      </c>
      <c r="AA204" s="15" t="s">
        <v>50</v>
      </c>
      <c r="AB204" s="15" t="s">
        <v>612</v>
      </c>
      <c r="AC204" s="15" t="s">
        <v>52</v>
      </c>
      <c r="AD204" s="15" t="s">
        <v>53</v>
      </c>
      <c r="AE204" s="15" t="s">
        <v>54</v>
      </c>
      <c r="AF204" s="15" t="s">
        <v>55</v>
      </c>
      <c r="AG204" s="15"/>
      <c r="AH204" s="14" t="str">
        <f>VLOOKUP(B204,[1]Sheet1!$A$2:$F$294,6,FALSE)</f>
        <v>无</v>
      </c>
      <c r="AI204" s="14">
        <f>VLOOKUP(B204,[1]Sheet1!$A$2:$F$294,4,FALSE)</f>
        <v>0</v>
      </c>
      <c r="AJ204" s="14" t="str">
        <f>VLOOKUP(B204,[1]Sheet1!$A$2:$F$294,5,FALSE)</f>
        <v>无</v>
      </c>
    </row>
    <row r="205" s="2" customFormat="1" ht="14.25" spans="1:36">
      <c r="A205" s="11">
        <v>204</v>
      </c>
      <c r="B205" s="12">
        <v>22408000726</v>
      </c>
      <c r="C205" s="13" t="s">
        <v>959</v>
      </c>
      <c r="D205" s="14" t="s">
        <v>887</v>
      </c>
      <c r="E205" s="15" t="s">
        <v>960</v>
      </c>
      <c r="F205" s="14">
        <v>18961380287</v>
      </c>
      <c r="G205" s="15">
        <v>13722347213</v>
      </c>
      <c r="H205" s="15">
        <v>15830735430</v>
      </c>
      <c r="I205" s="14" t="s">
        <v>58</v>
      </c>
      <c r="J205" s="15">
        <v>2022080007</v>
      </c>
      <c r="K205" s="16" t="s">
        <v>297</v>
      </c>
      <c r="L205" s="14" t="s">
        <v>59</v>
      </c>
      <c r="M205" s="14" t="s">
        <v>206</v>
      </c>
      <c r="N205" s="14" t="s">
        <v>961</v>
      </c>
      <c r="O205" s="15">
        <v>2022</v>
      </c>
      <c r="P205" s="15" t="s">
        <v>41</v>
      </c>
      <c r="Q205" s="15" t="s">
        <v>854</v>
      </c>
      <c r="R205" s="15" t="s">
        <v>43</v>
      </c>
      <c r="S205" s="15" t="s">
        <v>962</v>
      </c>
      <c r="T205" s="15">
        <v>222000</v>
      </c>
      <c r="U205" s="15" t="s">
        <v>99</v>
      </c>
      <c r="V205" s="15" t="s">
        <v>58</v>
      </c>
      <c r="W205" s="15" t="s">
        <v>41</v>
      </c>
      <c r="X205" s="15" t="s">
        <v>47</v>
      </c>
      <c r="Y205" s="15" t="s">
        <v>291</v>
      </c>
      <c r="Z205" s="15" t="s">
        <v>49</v>
      </c>
      <c r="AA205" s="15" t="s">
        <v>50</v>
      </c>
      <c r="AB205" s="15" t="s">
        <v>67</v>
      </c>
      <c r="AC205" s="15" t="s">
        <v>52</v>
      </c>
      <c r="AD205" s="15" t="s">
        <v>53</v>
      </c>
      <c r="AE205" s="15" t="s">
        <v>54</v>
      </c>
      <c r="AF205" s="15" t="s">
        <v>55</v>
      </c>
      <c r="AG205" s="15"/>
      <c r="AH205" s="14" t="str">
        <f>VLOOKUP(B205,[1]Sheet1!$A$2:$F$294,6,FALSE)</f>
        <v>无</v>
      </c>
      <c r="AI205" s="14">
        <f>VLOOKUP(B205,[1]Sheet1!$A$2:$F$294,4,FALSE)</f>
        <v>0</v>
      </c>
      <c r="AJ205" s="14" t="str">
        <f>VLOOKUP(B205,[1]Sheet1!$A$2:$F$294,5,FALSE)</f>
        <v>无</v>
      </c>
    </row>
    <row r="206" s="2" customFormat="1" ht="14.25" spans="1:36">
      <c r="A206" s="11">
        <v>205</v>
      </c>
      <c r="B206" s="12">
        <v>22408000728</v>
      </c>
      <c r="C206" s="13" t="s">
        <v>963</v>
      </c>
      <c r="D206" s="14" t="s">
        <v>887</v>
      </c>
      <c r="E206" s="41" t="s">
        <v>964</v>
      </c>
      <c r="F206" s="14">
        <v>13129217690</v>
      </c>
      <c r="G206" s="15">
        <v>13511193336</v>
      </c>
      <c r="H206" s="15">
        <v>15211207238</v>
      </c>
      <c r="I206" s="14" t="s">
        <v>58</v>
      </c>
      <c r="J206" s="15">
        <v>2022080007</v>
      </c>
      <c r="K206" s="16" t="s">
        <v>297</v>
      </c>
      <c r="L206" s="14" t="s">
        <v>59</v>
      </c>
      <c r="M206" s="14" t="s">
        <v>206</v>
      </c>
      <c r="N206" s="14" t="s">
        <v>961</v>
      </c>
      <c r="O206" s="15">
        <v>2022</v>
      </c>
      <c r="P206" s="15" t="s">
        <v>41</v>
      </c>
      <c r="Q206" s="15" t="s">
        <v>194</v>
      </c>
      <c r="R206" s="15" t="s">
        <v>63</v>
      </c>
      <c r="S206" s="15" t="s">
        <v>965</v>
      </c>
      <c r="T206" s="15">
        <v>528400</v>
      </c>
      <c r="U206" s="15" t="s">
        <v>935</v>
      </c>
      <c r="V206" s="15" t="s">
        <v>58</v>
      </c>
      <c r="W206" s="15" t="s">
        <v>41</v>
      </c>
      <c r="X206" s="15" t="s">
        <v>74</v>
      </c>
      <c r="Y206" s="15" t="s">
        <v>291</v>
      </c>
      <c r="Z206" s="15" t="s">
        <v>49</v>
      </c>
      <c r="AA206" s="15" t="s">
        <v>50</v>
      </c>
      <c r="AB206" s="15" t="s">
        <v>67</v>
      </c>
      <c r="AC206" s="15" t="s">
        <v>52</v>
      </c>
      <c r="AD206" s="15" t="s">
        <v>53</v>
      </c>
      <c r="AE206" s="15" t="s">
        <v>54</v>
      </c>
      <c r="AF206" s="15" t="s">
        <v>55</v>
      </c>
      <c r="AG206" s="15"/>
      <c r="AH206" s="14" t="str">
        <f>VLOOKUP(B206,[1]Sheet1!$A$2:$F$294,6,FALSE)</f>
        <v>无</v>
      </c>
      <c r="AI206" s="14">
        <f>VLOOKUP(B206,[1]Sheet1!$A$2:$F$294,4,FALSE)</f>
        <v>0</v>
      </c>
      <c r="AJ206" s="14" t="str">
        <f>VLOOKUP(B206,[1]Sheet1!$A$2:$F$294,5,FALSE)</f>
        <v>无</v>
      </c>
    </row>
    <row r="207" s="2" customFormat="1" ht="14.25" spans="1:36">
      <c r="A207" s="11">
        <v>206</v>
      </c>
      <c r="B207" s="12">
        <v>22408000732</v>
      </c>
      <c r="C207" s="13" t="s">
        <v>966</v>
      </c>
      <c r="D207" s="14" t="s">
        <v>887</v>
      </c>
      <c r="E207" s="41" t="s">
        <v>967</v>
      </c>
      <c r="F207" s="14">
        <v>18007373547</v>
      </c>
      <c r="G207" s="15">
        <v>13975361459</v>
      </c>
      <c r="H207" s="15">
        <v>13975377117</v>
      </c>
      <c r="I207" s="14" t="s">
        <v>58</v>
      </c>
      <c r="J207" s="15">
        <v>2022080007</v>
      </c>
      <c r="K207" s="16" t="s">
        <v>297</v>
      </c>
      <c r="L207" s="14" t="s">
        <v>59</v>
      </c>
      <c r="M207" s="14" t="s">
        <v>206</v>
      </c>
      <c r="N207" s="14" t="s">
        <v>961</v>
      </c>
      <c r="O207" s="15">
        <v>2022</v>
      </c>
      <c r="P207" s="15" t="s">
        <v>41</v>
      </c>
      <c r="Q207" s="15" t="s">
        <v>104</v>
      </c>
      <c r="R207" s="15" t="s">
        <v>43</v>
      </c>
      <c r="S207" s="15" t="s">
        <v>968</v>
      </c>
      <c r="T207" s="15">
        <v>413000</v>
      </c>
      <c r="U207" s="15" t="s">
        <v>45</v>
      </c>
      <c r="V207" s="15" t="s">
        <v>58</v>
      </c>
      <c r="W207" s="15" t="s">
        <v>41</v>
      </c>
      <c r="X207" s="15" t="s">
        <v>74</v>
      </c>
      <c r="Y207" s="15" t="s">
        <v>291</v>
      </c>
      <c r="Z207" s="15" t="s">
        <v>49</v>
      </c>
      <c r="AA207" s="15" t="s">
        <v>50</v>
      </c>
      <c r="AB207" s="15" t="s">
        <v>67</v>
      </c>
      <c r="AC207" s="15" t="s">
        <v>52</v>
      </c>
      <c r="AD207" s="15" t="s">
        <v>53</v>
      </c>
      <c r="AE207" s="15" t="s">
        <v>54</v>
      </c>
      <c r="AF207" s="15" t="s">
        <v>55</v>
      </c>
      <c r="AG207" s="15"/>
      <c r="AH207" s="14" t="str">
        <f>VLOOKUP(B207,[1]Sheet1!$A$2:$F$294,6,FALSE)</f>
        <v>无</v>
      </c>
      <c r="AI207" s="14">
        <f>VLOOKUP(B207,[1]Sheet1!$A$2:$F$294,4,FALSE)</f>
        <v>0</v>
      </c>
      <c r="AJ207" s="14" t="str">
        <f>VLOOKUP(B207,[1]Sheet1!$A$2:$F$294,5,FALSE)</f>
        <v>无</v>
      </c>
    </row>
    <row r="208" s="2" customFormat="1" ht="14.25" spans="1:36">
      <c r="A208" s="11">
        <v>207</v>
      </c>
      <c r="B208" s="12">
        <v>22408000733</v>
      </c>
      <c r="C208" s="13" t="s">
        <v>969</v>
      </c>
      <c r="D208" s="14" t="s">
        <v>887</v>
      </c>
      <c r="E208" s="41" t="s">
        <v>970</v>
      </c>
      <c r="F208" s="14">
        <v>15573553792</v>
      </c>
      <c r="G208" s="15">
        <v>15673447227</v>
      </c>
      <c r="H208" s="15">
        <v>13723838677</v>
      </c>
      <c r="I208" s="14" t="s">
        <v>58</v>
      </c>
      <c r="J208" s="15">
        <v>2022080007</v>
      </c>
      <c r="K208" s="16" t="s">
        <v>297</v>
      </c>
      <c r="L208" s="14" t="s">
        <v>59</v>
      </c>
      <c r="M208" s="14" t="s">
        <v>206</v>
      </c>
      <c r="N208" s="14" t="s">
        <v>339</v>
      </c>
      <c r="O208" s="15">
        <v>2022</v>
      </c>
      <c r="P208" s="15" t="s">
        <v>41</v>
      </c>
      <c r="Q208" s="15" t="s">
        <v>971</v>
      </c>
      <c r="R208" s="15" t="s">
        <v>63</v>
      </c>
      <c r="S208" s="15" t="s">
        <v>972</v>
      </c>
      <c r="T208" s="15">
        <v>424300</v>
      </c>
      <c r="U208" s="15" t="s">
        <v>45</v>
      </c>
      <c r="V208" s="15" t="s">
        <v>58</v>
      </c>
      <c r="W208" s="15" t="s">
        <v>41</v>
      </c>
      <c r="X208" s="15" t="s">
        <v>74</v>
      </c>
      <c r="Y208" s="15" t="s">
        <v>291</v>
      </c>
      <c r="Z208" s="15" t="s">
        <v>49</v>
      </c>
      <c r="AA208" s="15" t="s">
        <v>50</v>
      </c>
      <c r="AB208" s="15" t="s">
        <v>67</v>
      </c>
      <c r="AC208" s="15" t="s">
        <v>52</v>
      </c>
      <c r="AD208" s="15" t="s">
        <v>53</v>
      </c>
      <c r="AE208" s="15" t="s">
        <v>54</v>
      </c>
      <c r="AF208" s="15" t="s">
        <v>55</v>
      </c>
      <c r="AG208" s="15"/>
      <c r="AH208" s="14" t="str">
        <f>VLOOKUP(B208,[1]Sheet1!$A$2:$F$294,6,FALSE)</f>
        <v>无</v>
      </c>
      <c r="AI208" s="14">
        <f>VLOOKUP(B208,[1]Sheet1!$A$2:$F$294,4,FALSE)</f>
        <v>0</v>
      </c>
      <c r="AJ208" s="14" t="str">
        <f>VLOOKUP(B208,[1]Sheet1!$A$2:$F$294,5,FALSE)</f>
        <v>无</v>
      </c>
    </row>
    <row r="209" s="2" customFormat="1" ht="14.25" spans="1:36">
      <c r="A209" s="11">
        <v>208</v>
      </c>
      <c r="B209" s="12">
        <v>22408000904</v>
      </c>
      <c r="C209" s="13" t="s">
        <v>973</v>
      </c>
      <c r="D209" s="14" t="s">
        <v>887</v>
      </c>
      <c r="E209" s="41" t="s">
        <v>974</v>
      </c>
      <c r="F209" s="14">
        <v>17267613791</v>
      </c>
      <c r="G209" s="15">
        <v>15112016875</v>
      </c>
      <c r="H209" s="15" t="s">
        <v>239</v>
      </c>
      <c r="I209" s="14" t="s">
        <v>58</v>
      </c>
      <c r="J209" s="15">
        <v>2022080009</v>
      </c>
      <c r="K209" s="16" t="s">
        <v>205</v>
      </c>
      <c r="L209" s="14" t="s">
        <v>59</v>
      </c>
      <c r="M209" s="14" t="s">
        <v>206</v>
      </c>
      <c r="N209" s="14" t="s">
        <v>352</v>
      </c>
      <c r="O209" s="15">
        <v>2022</v>
      </c>
      <c r="P209" s="15" t="s">
        <v>41</v>
      </c>
      <c r="Q209" s="15" t="s">
        <v>975</v>
      </c>
      <c r="R209" s="15" t="s">
        <v>63</v>
      </c>
      <c r="S209" s="15" t="s">
        <v>976</v>
      </c>
      <c r="T209" s="15">
        <v>421115</v>
      </c>
      <c r="U209" s="15" t="s">
        <v>45</v>
      </c>
      <c r="V209" s="15" t="s">
        <v>58</v>
      </c>
      <c r="W209" s="15" t="s">
        <v>46</v>
      </c>
      <c r="X209" s="15" t="s">
        <v>47</v>
      </c>
      <c r="Y209" s="15" t="s">
        <v>132</v>
      </c>
      <c r="Z209" s="15" t="s">
        <v>49</v>
      </c>
      <c r="AA209" s="15" t="s">
        <v>100</v>
      </c>
      <c r="AB209" s="15" t="s">
        <v>612</v>
      </c>
      <c r="AC209" s="15" t="s">
        <v>101</v>
      </c>
      <c r="AD209" s="15" t="s">
        <v>53</v>
      </c>
      <c r="AE209" s="15" t="s">
        <v>54</v>
      </c>
      <c r="AF209" s="15" t="s">
        <v>55</v>
      </c>
      <c r="AG209" s="15"/>
      <c r="AH209" s="14" t="str">
        <f>VLOOKUP(B209,[1]Sheet1!$A$2:$F$294,6,FALSE)</f>
        <v>一般困难</v>
      </c>
      <c r="AI209" s="14">
        <f>VLOOKUP(B209,[1]Sheet1!$A$2:$F$294,4,FALSE)</f>
        <v>0</v>
      </c>
      <c r="AJ209" s="14" t="str">
        <f>VLOOKUP(B209,[1]Sheet1!$A$2:$F$294,5,FALSE)</f>
        <v>无</v>
      </c>
    </row>
    <row r="210" s="2" customFormat="1" ht="14.25" spans="1:36">
      <c r="A210" s="11">
        <v>209</v>
      </c>
      <c r="B210" s="12">
        <v>22408000907</v>
      </c>
      <c r="C210" s="13" t="s">
        <v>977</v>
      </c>
      <c r="D210" s="14" t="s">
        <v>887</v>
      </c>
      <c r="E210" s="41" t="s">
        <v>978</v>
      </c>
      <c r="F210" s="14">
        <v>18083856790</v>
      </c>
      <c r="G210" s="15">
        <v>13513283257</v>
      </c>
      <c r="H210" s="15">
        <v>15630284261</v>
      </c>
      <c r="I210" s="14" t="s">
        <v>58</v>
      </c>
      <c r="J210" s="15">
        <v>2022080009</v>
      </c>
      <c r="K210" s="16" t="s">
        <v>205</v>
      </c>
      <c r="L210" s="14" t="s">
        <v>59</v>
      </c>
      <c r="M210" s="14" t="s">
        <v>206</v>
      </c>
      <c r="N210" s="14" t="s">
        <v>207</v>
      </c>
      <c r="O210" s="15">
        <v>2022</v>
      </c>
      <c r="P210" s="15" t="s">
        <v>41</v>
      </c>
      <c r="Q210" s="15" t="s">
        <v>979</v>
      </c>
      <c r="R210" s="15" t="s">
        <v>63</v>
      </c>
      <c r="S210" s="15" t="s">
        <v>980</v>
      </c>
      <c r="T210" s="15">
        <v>650051</v>
      </c>
      <c r="U210" s="15" t="s">
        <v>196</v>
      </c>
      <c r="V210" s="15" t="s">
        <v>58</v>
      </c>
      <c r="W210" s="15" t="s">
        <v>46</v>
      </c>
      <c r="X210" s="15" t="s">
        <v>74</v>
      </c>
      <c r="Y210" s="15" t="s">
        <v>132</v>
      </c>
      <c r="Z210" s="15" t="s">
        <v>75</v>
      </c>
      <c r="AA210" s="15" t="s">
        <v>50</v>
      </c>
      <c r="AB210" s="15" t="s">
        <v>67</v>
      </c>
      <c r="AC210" s="15" t="s">
        <v>52</v>
      </c>
      <c r="AD210" s="15" t="s">
        <v>53</v>
      </c>
      <c r="AE210" s="15" t="s">
        <v>54</v>
      </c>
      <c r="AF210" s="15" t="s">
        <v>55</v>
      </c>
      <c r="AG210" s="15"/>
      <c r="AH210" s="14" t="str">
        <f>VLOOKUP(B210,[1]Sheet1!$A$2:$F$294,6,FALSE)</f>
        <v>无</v>
      </c>
      <c r="AI210" s="14">
        <f>VLOOKUP(B210,[1]Sheet1!$A$2:$F$294,4,FALSE)</f>
        <v>0</v>
      </c>
      <c r="AJ210" s="14" t="str">
        <f>VLOOKUP(B210,[1]Sheet1!$A$2:$F$294,5,FALSE)</f>
        <v>无</v>
      </c>
    </row>
    <row r="211" s="2" customFormat="1" ht="14.25" spans="1:36">
      <c r="A211" s="11">
        <v>210</v>
      </c>
      <c r="B211" s="12">
        <v>22408000910</v>
      </c>
      <c r="C211" s="13" t="s">
        <v>981</v>
      </c>
      <c r="D211" s="14" t="s">
        <v>887</v>
      </c>
      <c r="E211" s="41" t="s">
        <v>982</v>
      </c>
      <c r="F211" s="14">
        <v>19173021195</v>
      </c>
      <c r="G211" s="15">
        <v>19173022995</v>
      </c>
      <c r="H211" s="15">
        <v>13017301708</v>
      </c>
      <c r="I211" s="14" t="s">
        <v>58</v>
      </c>
      <c r="J211" s="15">
        <v>2022080009</v>
      </c>
      <c r="K211" s="16" t="s">
        <v>205</v>
      </c>
      <c r="L211" s="14" t="s">
        <v>59</v>
      </c>
      <c r="M211" s="14" t="s">
        <v>206</v>
      </c>
      <c r="N211" s="14" t="s">
        <v>221</v>
      </c>
      <c r="O211" s="15">
        <v>2022</v>
      </c>
      <c r="P211" s="15" t="s">
        <v>41</v>
      </c>
      <c r="Q211" s="15" t="s">
        <v>983</v>
      </c>
      <c r="R211" s="15" t="s">
        <v>63</v>
      </c>
      <c r="S211" s="15" t="s">
        <v>984</v>
      </c>
      <c r="T211" s="15">
        <v>410000</v>
      </c>
      <c r="U211" s="15" t="s">
        <v>45</v>
      </c>
      <c r="V211" s="15" t="s">
        <v>58</v>
      </c>
      <c r="W211" s="15" t="s">
        <v>46</v>
      </c>
      <c r="X211" s="15" t="s">
        <v>74</v>
      </c>
      <c r="Y211" s="15" t="s">
        <v>132</v>
      </c>
      <c r="Z211" s="15" t="s">
        <v>49</v>
      </c>
      <c r="AA211" s="15" t="s">
        <v>50</v>
      </c>
      <c r="AB211" s="15" t="s">
        <v>67</v>
      </c>
      <c r="AC211" s="15" t="s">
        <v>52</v>
      </c>
      <c r="AD211" s="15" t="s">
        <v>53</v>
      </c>
      <c r="AE211" s="15" t="s">
        <v>54</v>
      </c>
      <c r="AF211" s="15" t="s">
        <v>55</v>
      </c>
      <c r="AG211" s="15"/>
      <c r="AH211" s="14" t="str">
        <f>VLOOKUP(B211,[1]Sheet1!$A$2:$F$294,6,FALSE)</f>
        <v>无</v>
      </c>
      <c r="AI211" s="14">
        <f>VLOOKUP(B211,[1]Sheet1!$A$2:$F$294,4,FALSE)</f>
        <v>0</v>
      </c>
      <c r="AJ211" s="14" t="str">
        <f>VLOOKUP(B211,[1]Sheet1!$A$2:$F$294,5,FALSE)</f>
        <v>无</v>
      </c>
    </row>
    <row r="212" s="2" customFormat="1" ht="14.25" spans="1:36">
      <c r="A212" s="11">
        <v>211</v>
      </c>
      <c r="B212" s="12">
        <v>22408000912</v>
      </c>
      <c r="C212" s="13" t="s">
        <v>985</v>
      </c>
      <c r="D212" s="14" t="s">
        <v>887</v>
      </c>
      <c r="E212" s="41" t="s">
        <v>986</v>
      </c>
      <c r="F212" s="14">
        <v>15116004062</v>
      </c>
      <c r="G212" s="15">
        <v>13317412806</v>
      </c>
      <c r="H212" s="15">
        <v>13762348416</v>
      </c>
      <c r="I212" s="14" t="s">
        <v>58</v>
      </c>
      <c r="J212" s="15">
        <v>2022080009</v>
      </c>
      <c r="K212" s="16" t="s">
        <v>205</v>
      </c>
      <c r="L212" s="14" t="s">
        <v>59</v>
      </c>
      <c r="M212" s="14" t="s">
        <v>206</v>
      </c>
      <c r="N212" s="14" t="s">
        <v>221</v>
      </c>
      <c r="O212" s="15">
        <v>2022</v>
      </c>
      <c r="P212" s="15" t="s">
        <v>41</v>
      </c>
      <c r="Q212" s="15" t="s">
        <v>987</v>
      </c>
      <c r="R212" s="15" t="s">
        <v>63</v>
      </c>
      <c r="S212" s="15" t="s">
        <v>988</v>
      </c>
      <c r="T212" s="15">
        <v>412200</v>
      </c>
      <c r="U212" s="15" t="s">
        <v>45</v>
      </c>
      <c r="V212" s="15" t="s">
        <v>58</v>
      </c>
      <c r="W212" s="15" t="s">
        <v>46</v>
      </c>
      <c r="X212" s="15" t="s">
        <v>74</v>
      </c>
      <c r="Y212" s="15" t="s">
        <v>47</v>
      </c>
      <c r="Z212" s="15" t="s">
        <v>49</v>
      </c>
      <c r="AA212" s="15" t="s">
        <v>50</v>
      </c>
      <c r="AB212" s="15" t="s">
        <v>51</v>
      </c>
      <c r="AC212" s="15" t="s">
        <v>52</v>
      </c>
      <c r="AD212" s="15" t="s">
        <v>53</v>
      </c>
      <c r="AE212" s="15" t="s">
        <v>54</v>
      </c>
      <c r="AF212" s="15" t="s">
        <v>55</v>
      </c>
      <c r="AG212" s="15"/>
      <c r="AH212" s="14" t="str">
        <f>VLOOKUP(B212,[1]Sheet1!$A$2:$F$294,6,FALSE)</f>
        <v>无</v>
      </c>
      <c r="AI212" s="14">
        <f>VLOOKUP(B212,[1]Sheet1!$A$2:$F$294,4,FALSE)</f>
        <v>0</v>
      </c>
      <c r="AJ212" s="14" t="str">
        <f>VLOOKUP(B212,[1]Sheet1!$A$2:$F$294,5,FALSE)</f>
        <v>无</v>
      </c>
    </row>
    <row r="213" s="2" customFormat="1" ht="14.25" spans="1:36">
      <c r="A213" s="11">
        <v>212</v>
      </c>
      <c r="B213" s="12">
        <v>22408000914</v>
      </c>
      <c r="C213" s="13" t="s">
        <v>989</v>
      </c>
      <c r="D213" s="14" t="s">
        <v>887</v>
      </c>
      <c r="E213" s="41" t="s">
        <v>990</v>
      </c>
      <c r="F213" s="14">
        <v>15723623453</v>
      </c>
      <c r="G213" s="15">
        <v>13510891908</v>
      </c>
      <c r="H213" s="15">
        <v>13638257696</v>
      </c>
      <c r="I213" s="14" t="s">
        <v>58</v>
      </c>
      <c r="J213" s="15">
        <v>2022080009</v>
      </c>
      <c r="K213" s="16" t="s">
        <v>205</v>
      </c>
      <c r="L213" s="14" t="s">
        <v>59</v>
      </c>
      <c r="M213" s="14" t="s">
        <v>206</v>
      </c>
      <c r="N213" s="14" t="s">
        <v>221</v>
      </c>
      <c r="O213" s="15">
        <v>2022</v>
      </c>
      <c r="P213" s="15" t="s">
        <v>41</v>
      </c>
      <c r="Q213" s="15" t="s">
        <v>991</v>
      </c>
      <c r="R213" s="15" t="s">
        <v>63</v>
      </c>
      <c r="S213" s="15" t="s">
        <v>992</v>
      </c>
      <c r="T213" s="15">
        <v>408307</v>
      </c>
      <c r="U213" s="15" t="s">
        <v>73</v>
      </c>
      <c r="V213" s="15" t="s">
        <v>58</v>
      </c>
      <c r="W213" s="15" t="s">
        <v>46</v>
      </c>
      <c r="X213" s="15" t="s">
        <v>74</v>
      </c>
      <c r="Y213" s="15" t="s">
        <v>132</v>
      </c>
      <c r="Z213" s="15" t="s">
        <v>49</v>
      </c>
      <c r="AA213" s="15" t="s">
        <v>100</v>
      </c>
      <c r="AB213" s="15" t="s">
        <v>51</v>
      </c>
      <c r="AC213" s="15" t="s">
        <v>52</v>
      </c>
      <c r="AD213" s="15" t="s">
        <v>53</v>
      </c>
      <c r="AE213" s="15" t="s">
        <v>54</v>
      </c>
      <c r="AF213" s="15" t="s">
        <v>55</v>
      </c>
      <c r="AG213" s="15"/>
      <c r="AH213" s="14" t="str">
        <f>VLOOKUP(B213,[1]Sheet1!$A$2:$F$294,6,FALSE)</f>
        <v>无</v>
      </c>
      <c r="AI213" s="14">
        <f>VLOOKUP(B213,[1]Sheet1!$A$2:$F$294,4,FALSE)</f>
        <v>0</v>
      </c>
      <c r="AJ213" s="14" t="str">
        <f>VLOOKUP(B213,[1]Sheet1!$A$2:$F$294,5,FALSE)</f>
        <v>无</v>
      </c>
    </row>
    <row r="214" s="2" customFormat="1" ht="14.25" spans="1:36">
      <c r="A214" s="11">
        <v>213</v>
      </c>
      <c r="B214" s="12">
        <v>22408000924</v>
      </c>
      <c r="C214" s="13" t="s">
        <v>993</v>
      </c>
      <c r="D214" s="14" t="s">
        <v>887</v>
      </c>
      <c r="E214" s="41" t="s">
        <v>994</v>
      </c>
      <c r="F214" s="14">
        <v>18108528149</v>
      </c>
      <c r="G214" s="15">
        <v>15692726773</v>
      </c>
      <c r="H214" s="15">
        <v>18585709907</v>
      </c>
      <c r="I214" s="14" t="s">
        <v>36</v>
      </c>
      <c r="J214" s="15">
        <v>2022080009</v>
      </c>
      <c r="K214" s="16" t="s">
        <v>205</v>
      </c>
      <c r="L214" s="14" t="s">
        <v>38</v>
      </c>
      <c r="M214" s="14" t="s">
        <v>39</v>
      </c>
      <c r="N214" s="14" t="s">
        <v>721</v>
      </c>
      <c r="O214" s="15">
        <v>2022</v>
      </c>
      <c r="P214" s="15" t="s">
        <v>41</v>
      </c>
      <c r="Q214" s="15" t="s">
        <v>995</v>
      </c>
      <c r="R214" s="15" t="s">
        <v>63</v>
      </c>
      <c r="S214" s="15" t="s">
        <v>996</v>
      </c>
      <c r="T214" s="15">
        <v>564100</v>
      </c>
      <c r="U214" s="15" t="s">
        <v>518</v>
      </c>
      <c r="V214" s="15" t="s">
        <v>36</v>
      </c>
      <c r="W214" s="15" t="s">
        <v>46</v>
      </c>
      <c r="X214" s="15" t="s">
        <v>47</v>
      </c>
      <c r="Y214" s="15" t="s">
        <v>132</v>
      </c>
      <c r="Z214" s="15" t="s">
        <v>49</v>
      </c>
      <c r="AA214" s="15" t="s">
        <v>50</v>
      </c>
      <c r="AB214" s="15" t="s">
        <v>67</v>
      </c>
      <c r="AC214" s="15" t="s">
        <v>52</v>
      </c>
      <c r="AD214" s="15" t="s">
        <v>53</v>
      </c>
      <c r="AE214" s="15" t="s">
        <v>54</v>
      </c>
      <c r="AF214" s="15" t="s">
        <v>55</v>
      </c>
      <c r="AG214" s="15"/>
      <c r="AH214" s="14" t="str">
        <f>VLOOKUP(B214,[1]Sheet1!$A$2:$F$294,6,FALSE)</f>
        <v>特别困难</v>
      </c>
      <c r="AI214" s="14">
        <f>VLOOKUP(B214,[1]Sheet1!$A$2:$F$294,4,FALSE)</f>
        <v>0</v>
      </c>
      <c r="AJ214" s="14" t="str">
        <f>VLOOKUP(B214,[1]Sheet1!$A$2:$F$294,5,FALSE)</f>
        <v>无</v>
      </c>
    </row>
    <row r="215" s="2" customFormat="1" ht="14.25" spans="1:36">
      <c r="A215" s="11">
        <v>214</v>
      </c>
      <c r="B215" s="12">
        <v>22408000929</v>
      </c>
      <c r="C215" s="13" t="s">
        <v>997</v>
      </c>
      <c r="D215" s="14" t="s">
        <v>887</v>
      </c>
      <c r="E215" s="41" t="s">
        <v>998</v>
      </c>
      <c r="F215" s="14">
        <v>18919912704</v>
      </c>
      <c r="G215" s="15">
        <v>18919809506</v>
      </c>
      <c r="H215" s="15">
        <v>18909316693</v>
      </c>
      <c r="I215" s="14" t="s">
        <v>36</v>
      </c>
      <c r="J215" s="15">
        <v>2022080009</v>
      </c>
      <c r="K215" s="16" t="s">
        <v>205</v>
      </c>
      <c r="L215" s="14" t="s">
        <v>38</v>
      </c>
      <c r="M215" s="14" t="s">
        <v>39</v>
      </c>
      <c r="N215" s="14" t="s">
        <v>240</v>
      </c>
      <c r="O215" s="15">
        <v>2022</v>
      </c>
      <c r="P215" s="15" t="s">
        <v>41</v>
      </c>
      <c r="Q215" s="15" t="s">
        <v>999</v>
      </c>
      <c r="R215" s="15" t="s">
        <v>63</v>
      </c>
      <c r="S215" s="15" t="s">
        <v>1000</v>
      </c>
      <c r="T215" s="15">
        <v>730300</v>
      </c>
      <c r="U215" s="15" t="s">
        <v>331</v>
      </c>
      <c r="V215" s="15" t="s">
        <v>36</v>
      </c>
      <c r="W215" s="15" t="s">
        <v>46</v>
      </c>
      <c r="X215" s="15" t="s">
        <v>74</v>
      </c>
      <c r="Y215" s="15" t="s">
        <v>47</v>
      </c>
      <c r="Z215" s="15" t="s">
        <v>75</v>
      </c>
      <c r="AA215" s="15" t="s">
        <v>50</v>
      </c>
      <c r="AB215" s="15" t="s">
        <v>67</v>
      </c>
      <c r="AC215" s="15" t="s">
        <v>52</v>
      </c>
      <c r="AD215" s="15" t="s">
        <v>53</v>
      </c>
      <c r="AE215" s="15" t="s">
        <v>54</v>
      </c>
      <c r="AF215" s="15" t="s">
        <v>55</v>
      </c>
      <c r="AG215" s="15"/>
      <c r="AH215" s="14" t="str">
        <f>VLOOKUP(B215,[1]Sheet1!$A$2:$F$294,6,FALSE)</f>
        <v>无</v>
      </c>
      <c r="AI215" s="14">
        <f>VLOOKUP(B215,[1]Sheet1!$A$2:$F$294,4,FALSE)</f>
        <v>0</v>
      </c>
      <c r="AJ215" s="14" t="str">
        <f>VLOOKUP(B215,[1]Sheet1!$A$2:$F$294,5,FALSE)</f>
        <v>无</v>
      </c>
    </row>
    <row r="216" s="2" customFormat="1" ht="14.25" spans="1:36">
      <c r="A216" s="11">
        <v>215</v>
      </c>
      <c r="B216" s="12">
        <v>22408000502</v>
      </c>
      <c r="C216" s="13" t="s">
        <v>1001</v>
      </c>
      <c r="D216" s="14" t="s">
        <v>1002</v>
      </c>
      <c r="E216" s="41" t="s">
        <v>1003</v>
      </c>
      <c r="F216" s="14">
        <v>18900717239</v>
      </c>
      <c r="G216" s="15">
        <v>18900716438</v>
      </c>
      <c r="H216" s="15">
        <v>15873192095</v>
      </c>
      <c r="I216" s="14" t="s">
        <v>58</v>
      </c>
      <c r="J216" s="15">
        <v>2022080005</v>
      </c>
      <c r="K216" s="16" t="s">
        <v>151</v>
      </c>
      <c r="L216" s="14" t="s">
        <v>59</v>
      </c>
      <c r="M216" s="14" t="s">
        <v>152</v>
      </c>
      <c r="N216" s="14" t="s">
        <v>153</v>
      </c>
      <c r="O216" s="15">
        <v>2022</v>
      </c>
      <c r="P216" s="15" t="s">
        <v>41</v>
      </c>
      <c r="Q216" s="15" t="s">
        <v>358</v>
      </c>
      <c r="R216" s="15" t="s">
        <v>63</v>
      </c>
      <c r="S216" s="15" t="s">
        <v>1004</v>
      </c>
      <c r="T216" s="15">
        <v>410301</v>
      </c>
      <c r="U216" s="15" t="s">
        <v>45</v>
      </c>
      <c r="V216" s="15" t="s">
        <v>58</v>
      </c>
      <c r="W216" s="15" t="s">
        <v>46</v>
      </c>
      <c r="X216" s="15" t="s">
        <v>47</v>
      </c>
      <c r="Y216" s="15" t="s">
        <v>47</v>
      </c>
      <c r="Z216" s="15" t="s">
        <v>49</v>
      </c>
      <c r="AA216" s="15" t="s">
        <v>50</v>
      </c>
      <c r="AB216" s="15" t="s">
        <v>67</v>
      </c>
      <c r="AC216" s="15" t="s">
        <v>52</v>
      </c>
      <c r="AD216" s="15" t="s">
        <v>53</v>
      </c>
      <c r="AE216" s="15" t="s">
        <v>54</v>
      </c>
      <c r="AF216" s="15" t="s">
        <v>55</v>
      </c>
      <c r="AG216" s="15"/>
      <c r="AH216" s="14" t="str">
        <f>VLOOKUP(B216,[1]Sheet1!$A$2:$F$294,6,FALSE)</f>
        <v>无</v>
      </c>
      <c r="AI216" s="14">
        <f>VLOOKUP(B216,[1]Sheet1!$A$2:$F$294,4,FALSE)</f>
        <v>0</v>
      </c>
      <c r="AJ216" s="14" t="str">
        <f>VLOOKUP(B216,[1]Sheet1!$A$2:$F$294,5,FALSE)</f>
        <v>无</v>
      </c>
    </row>
    <row r="217" s="2" customFormat="1" ht="14.25" spans="1:36">
      <c r="A217" s="11">
        <v>216</v>
      </c>
      <c r="B217" s="12">
        <v>22408000506</v>
      </c>
      <c r="C217" s="13" t="s">
        <v>1005</v>
      </c>
      <c r="D217" s="14" t="s">
        <v>1002</v>
      </c>
      <c r="E217" s="15" t="s">
        <v>1006</v>
      </c>
      <c r="F217" s="14">
        <v>18373551680</v>
      </c>
      <c r="G217" s="15">
        <v>13787777680</v>
      </c>
      <c r="H217" s="15">
        <v>18373556060</v>
      </c>
      <c r="I217" s="14" t="s">
        <v>58</v>
      </c>
      <c r="J217" s="15">
        <v>2022080005</v>
      </c>
      <c r="K217" s="16" t="s">
        <v>151</v>
      </c>
      <c r="L217" s="14" t="s">
        <v>59</v>
      </c>
      <c r="M217" s="14" t="s">
        <v>152</v>
      </c>
      <c r="N217" s="14" t="s">
        <v>153</v>
      </c>
      <c r="O217" s="15">
        <v>2022</v>
      </c>
      <c r="P217" s="15" t="s">
        <v>41</v>
      </c>
      <c r="Q217" s="15" t="s">
        <v>42</v>
      </c>
      <c r="R217" s="15" t="s">
        <v>63</v>
      </c>
      <c r="S217" s="15" t="s">
        <v>1007</v>
      </c>
      <c r="T217" s="15">
        <v>423000</v>
      </c>
      <c r="U217" s="15" t="s">
        <v>45</v>
      </c>
      <c r="V217" s="15" t="s">
        <v>58</v>
      </c>
      <c r="W217" s="15" t="s">
        <v>46</v>
      </c>
      <c r="X217" s="15" t="s">
        <v>74</v>
      </c>
      <c r="Y217" s="15" t="s">
        <v>88</v>
      </c>
      <c r="Z217" s="15" t="s">
        <v>75</v>
      </c>
      <c r="AA217" s="15" t="s">
        <v>50</v>
      </c>
      <c r="AB217" s="15" t="s">
        <v>67</v>
      </c>
      <c r="AC217" s="15" t="s">
        <v>52</v>
      </c>
      <c r="AD217" s="15" t="s">
        <v>53</v>
      </c>
      <c r="AE217" s="15" t="s">
        <v>54</v>
      </c>
      <c r="AF217" s="15" t="s">
        <v>55</v>
      </c>
      <c r="AG217" s="15"/>
      <c r="AH217" s="14" t="str">
        <f>VLOOKUP(B217,[1]Sheet1!$A$2:$F$294,6,FALSE)</f>
        <v>无</v>
      </c>
      <c r="AI217" s="14">
        <f>VLOOKUP(B217,[1]Sheet1!$A$2:$F$294,4,FALSE)</f>
        <v>0</v>
      </c>
      <c r="AJ217" s="14" t="str">
        <f>VLOOKUP(B217,[1]Sheet1!$A$2:$F$294,5,FALSE)</f>
        <v>无</v>
      </c>
    </row>
    <row r="218" s="2" customFormat="1" ht="14.25" spans="1:36">
      <c r="A218" s="11">
        <v>217</v>
      </c>
      <c r="B218" s="12">
        <v>22408000507</v>
      </c>
      <c r="C218" s="13" t="s">
        <v>1008</v>
      </c>
      <c r="D218" s="14" t="s">
        <v>1002</v>
      </c>
      <c r="E218" s="41" t="s">
        <v>1009</v>
      </c>
      <c r="F218" s="14">
        <v>18929717612</v>
      </c>
      <c r="G218" s="15">
        <v>13592986748</v>
      </c>
      <c r="H218" s="15">
        <v>13432999938</v>
      </c>
      <c r="I218" s="14" t="s">
        <v>58</v>
      </c>
      <c r="J218" s="15">
        <v>2022080005</v>
      </c>
      <c r="K218" s="16" t="s">
        <v>151</v>
      </c>
      <c r="L218" s="14" t="s">
        <v>59</v>
      </c>
      <c r="M218" s="14" t="s">
        <v>152</v>
      </c>
      <c r="N218" s="14" t="s">
        <v>1010</v>
      </c>
      <c r="O218" s="15">
        <v>2022</v>
      </c>
      <c r="P218" s="15" t="s">
        <v>41</v>
      </c>
      <c r="Q218" s="15" t="s">
        <v>1011</v>
      </c>
      <c r="R218" s="15" t="s">
        <v>43</v>
      </c>
      <c r="S218" s="15" t="s">
        <v>1012</v>
      </c>
      <c r="T218" s="15">
        <v>525000</v>
      </c>
      <c r="U218" s="15" t="s">
        <v>935</v>
      </c>
      <c r="V218" s="15" t="s">
        <v>58</v>
      </c>
      <c r="W218" s="15" t="s">
        <v>46</v>
      </c>
      <c r="X218" s="15" t="s">
        <v>74</v>
      </c>
      <c r="Y218" s="15" t="s">
        <v>48</v>
      </c>
      <c r="Z218" s="15" t="s">
        <v>75</v>
      </c>
      <c r="AA218" s="15" t="s">
        <v>160</v>
      </c>
      <c r="AB218" s="15" t="s">
        <v>51</v>
      </c>
      <c r="AC218" s="15" t="s">
        <v>101</v>
      </c>
      <c r="AD218" s="15" t="s">
        <v>53</v>
      </c>
      <c r="AE218" s="15" t="s">
        <v>54</v>
      </c>
      <c r="AF218" s="15" t="s">
        <v>55</v>
      </c>
      <c r="AG218" s="15"/>
      <c r="AH218" s="14" t="str">
        <f>VLOOKUP(B218,[1]Sheet1!$A$2:$F$294,6,FALSE)</f>
        <v>无</v>
      </c>
      <c r="AI218" s="14">
        <f>VLOOKUP(B218,[1]Sheet1!$A$2:$F$294,4,FALSE)</f>
        <v>0</v>
      </c>
      <c r="AJ218" s="14" t="str">
        <f>VLOOKUP(B218,[1]Sheet1!$A$2:$F$294,5,FALSE)</f>
        <v>无</v>
      </c>
    </row>
    <row r="219" s="2" customFormat="1" ht="14.25" spans="1:36">
      <c r="A219" s="11">
        <v>218</v>
      </c>
      <c r="B219" s="12">
        <v>22408000509</v>
      </c>
      <c r="C219" s="13" t="s">
        <v>1013</v>
      </c>
      <c r="D219" s="14" t="s">
        <v>1002</v>
      </c>
      <c r="E219" s="15" t="s">
        <v>1014</v>
      </c>
      <c r="F219" s="14">
        <v>15672203051</v>
      </c>
      <c r="G219" s="15">
        <v>19186823618</v>
      </c>
      <c r="H219" s="15">
        <v>15399765391</v>
      </c>
      <c r="I219" s="14" t="s">
        <v>58</v>
      </c>
      <c r="J219" s="15">
        <v>2022080005</v>
      </c>
      <c r="K219" s="16" t="s">
        <v>151</v>
      </c>
      <c r="L219" s="14" t="s">
        <v>59</v>
      </c>
      <c r="M219" s="14" t="s">
        <v>152</v>
      </c>
      <c r="N219" s="14" t="s">
        <v>1010</v>
      </c>
      <c r="O219" s="15">
        <v>2022</v>
      </c>
      <c r="P219" s="15" t="s">
        <v>41</v>
      </c>
      <c r="Q219" s="15" t="s">
        <v>194</v>
      </c>
      <c r="R219" s="15" t="s">
        <v>63</v>
      </c>
      <c r="S219" s="15" t="s">
        <v>1015</v>
      </c>
      <c r="T219" s="15">
        <v>422700</v>
      </c>
      <c r="U219" s="15" t="s">
        <v>45</v>
      </c>
      <c r="V219" s="15" t="s">
        <v>58</v>
      </c>
      <c r="W219" s="15" t="s">
        <v>46</v>
      </c>
      <c r="X219" s="15" t="s">
        <v>74</v>
      </c>
      <c r="Y219" s="15" t="s">
        <v>48</v>
      </c>
      <c r="Z219" s="15" t="s">
        <v>49</v>
      </c>
      <c r="AA219" s="15" t="s">
        <v>50</v>
      </c>
      <c r="AB219" s="15" t="s">
        <v>51</v>
      </c>
      <c r="AC219" s="15" t="s">
        <v>52</v>
      </c>
      <c r="AD219" s="15" t="s">
        <v>53</v>
      </c>
      <c r="AE219" s="15" t="s">
        <v>54</v>
      </c>
      <c r="AF219" s="15" t="s">
        <v>55</v>
      </c>
      <c r="AG219" s="15"/>
      <c r="AH219" s="14" t="str">
        <f>VLOOKUP(B219,[1]Sheet1!$A$2:$F$294,6,FALSE)</f>
        <v>无</v>
      </c>
      <c r="AI219" s="14">
        <f>VLOOKUP(B219,[1]Sheet1!$A$2:$F$294,4,FALSE)</f>
        <v>0</v>
      </c>
      <c r="AJ219" s="14" t="str">
        <f>VLOOKUP(B219,[1]Sheet1!$A$2:$F$294,5,FALSE)</f>
        <v>无</v>
      </c>
    </row>
    <row r="220" s="2" customFormat="1" ht="14.25" spans="1:36">
      <c r="A220" s="11">
        <v>219</v>
      </c>
      <c r="B220" s="12">
        <v>22408000511</v>
      </c>
      <c r="C220" s="13" t="s">
        <v>1016</v>
      </c>
      <c r="D220" s="14" t="s">
        <v>1002</v>
      </c>
      <c r="E220" s="41" t="s">
        <v>1017</v>
      </c>
      <c r="F220" s="14">
        <v>17378243216</v>
      </c>
      <c r="G220" s="15">
        <v>19350378040</v>
      </c>
      <c r="H220" s="15">
        <v>15338019203</v>
      </c>
      <c r="I220" s="14" t="s">
        <v>58</v>
      </c>
      <c r="J220" s="15">
        <v>2022080005</v>
      </c>
      <c r="K220" s="16" t="s">
        <v>151</v>
      </c>
      <c r="L220" s="14" t="s">
        <v>59</v>
      </c>
      <c r="M220" s="14" t="s">
        <v>152</v>
      </c>
      <c r="N220" s="14" t="s">
        <v>157</v>
      </c>
      <c r="O220" s="15">
        <v>2022</v>
      </c>
      <c r="P220" s="15" t="s">
        <v>41</v>
      </c>
      <c r="Q220" s="15" t="s">
        <v>1018</v>
      </c>
      <c r="R220" s="15" t="s">
        <v>63</v>
      </c>
      <c r="S220" s="15" t="s">
        <v>1019</v>
      </c>
      <c r="T220" s="15">
        <v>421899</v>
      </c>
      <c r="U220" s="15" t="s">
        <v>45</v>
      </c>
      <c r="V220" s="15" t="s">
        <v>58</v>
      </c>
      <c r="W220" s="15" t="s">
        <v>46</v>
      </c>
      <c r="X220" s="15" t="s">
        <v>74</v>
      </c>
      <c r="Y220" s="15" t="s">
        <v>88</v>
      </c>
      <c r="Z220" s="15" t="s">
        <v>49</v>
      </c>
      <c r="AA220" s="15" t="s">
        <v>100</v>
      </c>
      <c r="AB220" s="15" t="s">
        <v>67</v>
      </c>
      <c r="AC220" s="15" t="s">
        <v>52</v>
      </c>
      <c r="AD220" s="15" t="s">
        <v>53</v>
      </c>
      <c r="AE220" s="15" t="s">
        <v>54</v>
      </c>
      <c r="AF220" s="15" t="s">
        <v>55</v>
      </c>
      <c r="AG220" s="15"/>
      <c r="AH220" s="14" t="str">
        <f>VLOOKUP(B220,[1]Sheet1!$A$2:$F$294,6,FALSE)</f>
        <v>无</v>
      </c>
      <c r="AI220" s="14">
        <f>VLOOKUP(B220,[1]Sheet1!$A$2:$F$294,4,FALSE)</f>
        <v>0</v>
      </c>
      <c r="AJ220" s="14" t="str">
        <f>VLOOKUP(B220,[1]Sheet1!$A$2:$F$294,5,FALSE)</f>
        <v>无</v>
      </c>
    </row>
    <row r="221" s="2" customFormat="1" ht="14.25" spans="1:36">
      <c r="A221" s="11">
        <v>220</v>
      </c>
      <c r="B221" s="12">
        <v>22408000523</v>
      </c>
      <c r="C221" s="13" t="s">
        <v>1020</v>
      </c>
      <c r="D221" s="14" t="s">
        <v>1002</v>
      </c>
      <c r="E221" s="41" t="s">
        <v>1021</v>
      </c>
      <c r="F221" s="14">
        <v>13707358983</v>
      </c>
      <c r="G221" s="15">
        <v>13786553081</v>
      </c>
      <c r="H221" s="15">
        <v>15173537284</v>
      </c>
      <c r="I221" s="14" t="s">
        <v>58</v>
      </c>
      <c r="J221" s="15">
        <v>2022080005</v>
      </c>
      <c r="K221" s="16" t="s">
        <v>151</v>
      </c>
      <c r="L221" s="14" t="s">
        <v>59</v>
      </c>
      <c r="M221" s="14" t="s">
        <v>152</v>
      </c>
      <c r="N221" s="14" t="s">
        <v>682</v>
      </c>
      <c r="O221" s="15">
        <v>2022</v>
      </c>
      <c r="P221" s="15" t="s">
        <v>41</v>
      </c>
      <c r="Q221" s="15" t="s">
        <v>42</v>
      </c>
      <c r="R221" s="15" t="s">
        <v>63</v>
      </c>
      <c r="S221" s="15" t="s">
        <v>1022</v>
      </c>
      <c r="T221" s="15">
        <v>424100</v>
      </c>
      <c r="U221" s="15" t="s">
        <v>45</v>
      </c>
      <c r="V221" s="15" t="s">
        <v>58</v>
      </c>
      <c r="W221" s="15" t="s">
        <v>46</v>
      </c>
      <c r="X221" s="15" t="s">
        <v>47</v>
      </c>
      <c r="Y221" s="15" t="s">
        <v>88</v>
      </c>
      <c r="Z221" s="15" t="s">
        <v>49</v>
      </c>
      <c r="AA221" s="15" t="s">
        <v>50</v>
      </c>
      <c r="AB221" s="15" t="s">
        <v>51</v>
      </c>
      <c r="AC221" s="15" t="s">
        <v>52</v>
      </c>
      <c r="AD221" s="15" t="s">
        <v>53</v>
      </c>
      <c r="AE221" s="15" t="s">
        <v>54</v>
      </c>
      <c r="AF221" s="15" t="s">
        <v>55</v>
      </c>
      <c r="AG221" s="15"/>
      <c r="AH221" s="14" t="str">
        <f>VLOOKUP(B221,[1]Sheet1!$A$2:$F$294,6,FALSE)</f>
        <v>特别困难</v>
      </c>
      <c r="AI221" s="14">
        <f>VLOOKUP(B221,[1]Sheet1!$A$2:$F$294,4,FALSE)</f>
        <v>0</v>
      </c>
      <c r="AJ221" s="14" t="str">
        <f>VLOOKUP(B221,[1]Sheet1!$A$2:$F$294,5,FALSE)</f>
        <v>无</v>
      </c>
    </row>
    <row r="222" s="2" customFormat="1" ht="14.25" spans="1:36">
      <c r="A222" s="11">
        <v>221</v>
      </c>
      <c r="B222" s="12">
        <v>22408000527</v>
      </c>
      <c r="C222" s="13" t="s">
        <v>1023</v>
      </c>
      <c r="D222" s="14" t="s">
        <v>1002</v>
      </c>
      <c r="E222" s="41" t="s">
        <v>1024</v>
      </c>
      <c r="F222" s="14">
        <v>17674749962</v>
      </c>
      <c r="G222" s="15">
        <v>13682505675</v>
      </c>
      <c r="H222" s="15">
        <v>18274781846</v>
      </c>
      <c r="I222" s="14" t="s">
        <v>58</v>
      </c>
      <c r="J222" s="15">
        <v>2022080005</v>
      </c>
      <c r="K222" s="16" t="s">
        <v>151</v>
      </c>
      <c r="L222" s="14" t="s">
        <v>59</v>
      </c>
      <c r="M222" s="14" t="s">
        <v>152</v>
      </c>
      <c r="N222" s="14" t="s">
        <v>173</v>
      </c>
      <c r="O222" s="15">
        <v>2022</v>
      </c>
      <c r="P222" s="15" t="s">
        <v>41</v>
      </c>
      <c r="Q222" s="15" t="s">
        <v>119</v>
      </c>
      <c r="R222" s="15" t="s">
        <v>63</v>
      </c>
      <c r="S222" s="15" t="s">
        <v>1025</v>
      </c>
      <c r="T222" s="15">
        <v>421600</v>
      </c>
      <c r="U222" s="15" t="s">
        <v>45</v>
      </c>
      <c r="V222" s="15" t="s">
        <v>58</v>
      </c>
      <c r="W222" s="15" t="s">
        <v>46</v>
      </c>
      <c r="X222" s="15" t="s">
        <v>47</v>
      </c>
      <c r="Y222" s="15" t="s">
        <v>47</v>
      </c>
      <c r="Z222" s="15" t="s">
        <v>49</v>
      </c>
      <c r="AA222" s="15" t="s">
        <v>50</v>
      </c>
      <c r="AB222" s="15" t="s">
        <v>67</v>
      </c>
      <c r="AC222" s="15" t="s">
        <v>52</v>
      </c>
      <c r="AD222" s="15" t="s">
        <v>53</v>
      </c>
      <c r="AE222" s="15" t="s">
        <v>54</v>
      </c>
      <c r="AF222" s="15" t="s">
        <v>55</v>
      </c>
      <c r="AG222" s="15"/>
      <c r="AH222" s="14" t="str">
        <f>VLOOKUP(B222,[1]Sheet1!$A$2:$F$294,6,FALSE)</f>
        <v>无</v>
      </c>
      <c r="AI222" s="14">
        <f>VLOOKUP(B222,[1]Sheet1!$A$2:$F$294,4,FALSE)</f>
        <v>0</v>
      </c>
      <c r="AJ222" s="14" t="str">
        <f>VLOOKUP(B222,[1]Sheet1!$A$2:$F$294,5,FALSE)</f>
        <v>无</v>
      </c>
    </row>
    <row r="223" s="2" customFormat="1" ht="14.25" spans="1:36">
      <c r="A223" s="11">
        <v>222</v>
      </c>
      <c r="B223" s="12">
        <v>22408000537</v>
      </c>
      <c r="C223" s="13" t="s">
        <v>1026</v>
      </c>
      <c r="D223" s="14" t="s">
        <v>1002</v>
      </c>
      <c r="E223" s="41" t="s">
        <v>1027</v>
      </c>
      <c r="F223" s="14">
        <v>16754842672</v>
      </c>
      <c r="G223" s="15">
        <v>15074708157</v>
      </c>
      <c r="H223" s="15">
        <v>15096079533</v>
      </c>
      <c r="I223" s="14" t="s">
        <v>58</v>
      </c>
      <c r="J223" s="15">
        <v>2022080005</v>
      </c>
      <c r="K223" s="16" t="s">
        <v>151</v>
      </c>
      <c r="L223" s="14" t="s">
        <v>59</v>
      </c>
      <c r="M223" s="14" t="s">
        <v>152</v>
      </c>
      <c r="N223" s="14" t="s">
        <v>193</v>
      </c>
      <c r="O223" s="15">
        <v>2022</v>
      </c>
      <c r="P223" s="15" t="s">
        <v>41</v>
      </c>
      <c r="Q223" s="15" t="s">
        <v>140</v>
      </c>
      <c r="R223" s="15" t="s">
        <v>63</v>
      </c>
      <c r="S223" s="15" t="s">
        <v>1028</v>
      </c>
      <c r="T223" s="15">
        <v>421800</v>
      </c>
      <c r="U223" s="15" t="s">
        <v>45</v>
      </c>
      <c r="V223" s="15" t="s">
        <v>58</v>
      </c>
      <c r="W223" s="15" t="s">
        <v>46</v>
      </c>
      <c r="X223" s="15" t="s">
        <v>47</v>
      </c>
      <c r="Y223" s="15" t="s">
        <v>48</v>
      </c>
      <c r="Z223" s="15" t="s">
        <v>49</v>
      </c>
      <c r="AA223" s="15" t="s">
        <v>50</v>
      </c>
      <c r="AB223" s="15" t="s">
        <v>51</v>
      </c>
      <c r="AC223" s="15" t="s">
        <v>52</v>
      </c>
      <c r="AD223" s="15" t="s">
        <v>53</v>
      </c>
      <c r="AE223" s="15" t="s">
        <v>54</v>
      </c>
      <c r="AF223" s="15" t="s">
        <v>55</v>
      </c>
      <c r="AG223" s="15"/>
      <c r="AH223" s="14" t="str">
        <f>VLOOKUP(B223,[1]Sheet1!$A$2:$F$294,6,FALSE)</f>
        <v>特别困难</v>
      </c>
      <c r="AI223" s="14">
        <f>VLOOKUP(B223,[1]Sheet1!$A$2:$F$294,4,FALSE)</f>
        <v>0</v>
      </c>
      <c r="AJ223" s="14" t="str">
        <f>VLOOKUP(B223,[1]Sheet1!$A$2:$F$294,5,FALSE)</f>
        <v>无</v>
      </c>
    </row>
    <row r="224" s="2" customFormat="1" ht="14.25" spans="1:36">
      <c r="A224" s="11">
        <v>223</v>
      </c>
      <c r="B224" s="12">
        <v>22408000542</v>
      </c>
      <c r="C224" s="13" t="s">
        <v>1029</v>
      </c>
      <c r="D224" s="14" t="s">
        <v>1002</v>
      </c>
      <c r="E224" s="41" t="s">
        <v>1030</v>
      </c>
      <c r="F224" s="14">
        <v>18573663687</v>
      </c>
      <c r="G224" s="15">
        <v>18819349675</v>
      </c>
      <c r="H224" s="15">
        <v>13106656016</v>
      </c>
      <c r="I224" s="14" t="s">
        <v>58</v>
      </c>
      <c r="J224" s="15">
        <v>2022080005</v>
      </c>
      <c r="K224" s="16" t="s">
        <v>151</v>
      </c>
      <c r="L224" s="14" t="s">
        <v>59</v>
      </c>
      <c r="M224" s="14" t="s">
        <v>152</v>
      </c>
      <c r="N224" s="14" t="s">
        <v>199</v>
      </c>
      <c r="O224" s="15">
        <v>2022</v>
      </c>
      <c r="P224" s="15" t="s">
        <v>41</v>
      </c>
      <c r="Q224" s="15" t="s">
        <v>158</v>
      </c>
      <c r="R224" s="15" t="s">
        <v>43</v>
      </c>
      <c r="S224" s="15" t="s">
        <v>1031</v>
      </c>
      <c r="T224" s="15">
        <v>415703</v>
      </c>
      <c r="U224" s="15" t="s">
        <v>45</v>
      </c>
      <c r="V224" s="15" t="s">
        <v>58</v>
      </c>
      <c r="W224" s="15" t="s">
        <v>46</v>
      </c>
      <c r="X224" s="15" t="s">
        <v>74</v>
      </c>
      <c r="Y224" s="15" t="s">
        <v>48</v>
      </c>
      <c r="Z224" s="15" t="s">
        <v>49</v>
      </c>
      <c r="AA224" s="15" t="s">
        <v>100</v>
      </c>
      <c r="AB224" s="15" t="s">
        <v>67</v>
      </c>
      <c r="AC224" s="15" t="s">
        <v>52</v>
      </c>
      <c r="AD224" s="15" t="s">
        <v>53</v>
      </c>
      <c r="AE224" s="15" t="s">
        <v>54</v>
      </c>
      <c r="AF224" s="15" t="s">
        <v>55</v>
      </c>
      <c r="AG224" s="15"/>
      <c r="AH224" s="14" t="str">
        <f>VLOOKUP(B224,[1]Sheet1!$A$2:$F$294,6,FALSE)</f>
        <v>无</v>
      </c>
      <c r="AI224" s="14">
        <f>VLOOKUP(B224,[1]Sheet1!$A$2:$F$294,4,FALSE)</f>
        <v>0</v>
      </c>
      <c r="AJ224" s="14" t="str">
        <f>VLOOKUP(B224,[1]Sheet1!$A$2:$F$294,5,FALSE)</f>
        <v>无</v>
      </c>
    </row>
    <row r="225" s="2" customFormat="1" ht="14.25" spans="1:36">
      <c r="A225" s="11">
        <v>224</v>
      </c>
      <c r="B225" s="12">
        <v>22408000604</v>
      </c>
      <c r="C225" s="13" t="s">
        <v>1032</v>
      </c>
      <c r="D225" s="14" t="s">
        <v>1002</v>
      </c>
      <c r="E225" s="41" t="s">
        <v>1033</v>
      </c>
      <c r="F225" s="14">
        <v>19891935864</v>
      </c>
      <c r="G225" s="15">
        <v>15800239662</v>
      </c>
      <c r="H225" s="15">
        <v>15243535383</v>
      </c>
      <c r="I225" s="14" t="s">
        <v>58</v>
      </c>
      <c r="J225" s="15">
        <v>2022080006</v>
      </c>
      <c r="K225" s="16" t="s">
        <v>253</v>
      </c>
      <c r="L225" s="14" t="s">
        <v>59</v>
      </c>
      <c r="M225" s="14" t="s">
        <v>206</v>
      </c>
      <c r="N225" s="14" t="s">
        <v>777</v>
      </c>
      <c r="O225" s="15">
        <v>2022</v>
      </c>
      <c r="P225" s="15" t="s">
        <v>41</v>
      </c>
      <c r="Q225" s="15" t="s">
        <v>42</v>
      </c>
      <c r="R225" s="15" t="s">
        <v>63</v>
      </c>
      <c r="S225" s="15" t="s">
        <v>1034</v>
      </c>
      <c r="T225" s="15">
        <v>424100</v>
      </c>
      <c r="U225" s="15" t="s">
        <v>45</v>
      </c>
      <c r="V225" s="15" t="s">
        <v>58</v>
      </c>
      <c r="W225" s="15" t="s">
        <v>41</v>
      </c>
      <c r="X225" s="15" t="s">
        <v>74</v>
      </c>
      <c r="Y225" s="15" t="s">
        <v>257</v>
      </c>
      <c r="Z225" s="15" t="s">
        <v>75</v>
      </c>
      <c r="AA225" s="15" t="s">
        <v>50</v>
      </c>
      <c r="AB225" s="15" t="s">
        <v>67</v>
      </c>
      <c r="AC225" s="15" t="s">
        <v>52</v>
      </c>
      <c r="AD225" s="15" t="s">
        <v>53</v>
      </c>
      <c r="AE225" s="15" t="s">
        <v>54</v>
      </c>
      <c r="AF225" s="15" t="s">
        <v>55</v>
      </c>
      <c r="AG225" s="15"/>
      <c r="AH225" s="14" t="str">
        <f>VLOOKUP(B225,[1]Sheet1!$A$2:$F$294,6,FALSE)</f>
        <v>无</v>
      </c>
      <c r="AI225" s="14">
        <f>VLOOKUP(B225,[1]Sheet1!$A$2:$F$294,4,FALSE)</f>
        <v>0</v>
      </c>
      <c r="AJ225" s="14" t="str">
        <f>VLOOKUP(B225,[1]Sheet1!$A$2:$F$294,5,FALSE)</f>
        <v>无</v>
      </c>
    </row>
    <row r="226" s="2" customFormat="1" ht="14.25" spans="1:36">
      <c r="A226" s="11">
        <v>225</v>
      </c>
      <c r="B226" s="12">
        <v>22408000611</v>
      </c>
      <c r="C226" s="13" t="s">
        <v>1035</v>
      </c>
      <c r="D226" s="14" t="s">
        <v>1002</v>
      </c>
      <c r="E226" s="15" t="s">
        <v>1036</v>
      </c>
      <c r="F226" s="14">
        <v>13712838852</v>
      </c>
      <c r="G226" s="15">
        <v>13544748852</v>
      </c>
      <c r="H226" s="15">
        <v>15007695289</v>
      </c>
      <c r="I226" s="14" t="s">
        <v>58</v>
      </c>
      <c r="J226" s="15">
        <v>2022080006</v>
      </c>
      <c r="K226" s="16" t="s">
        <v>253</v>
      </c>
      <c r="L226" s="14" t="s">
        <v>59</v>
      </c>
      <c r="M226" s="14" t="s">
        <v>206</v>
      </c>
      <c r="N226" s="14" t="s">
        <v>793</v>
      </c>
      <c r="O226" s="15">
        <v>2022</v>
      </c>
      <c r="P226" s="15" t="s">
        <v>41</v>
      </c>
      <c r="Q226" s="15" t="s">
        <v>1037</v>
      </c>
      <c r="R226" s="15" t="s">
        <v>43</v>
      </c>
      <c r="S226" s="15" t="s">
        <v>1038</v>
      </c>
      <c r="T226" s="15">
        <v>523000</v>
      </c>
      <c r="U226" s="15" t="s">
        <v>935</v>
      </c>
      <c r="V226" s="15" t="s">
        <v>58</v>
      </c>
      <c r="W226" s="15" t="s">
        <v>41</v>
      </c>
      <c r="X226" s="15" t="s">
        <v>74</v>
      </c>
      <c r="Y226" s="15" t="s">
        <v>257</v>
      </c>
      <c r="Z226" s="15" t="s">
        <v>49</v>
      </c>
      <c r="AA226" s="15" t="s">
        <v>50</v>
      </c>
      <c r="AB226" s="15" t="s">
        <v>67</v>
      </c>
      <c r="AC226" s="15" t="s">
        <v>52</v>
      </c>
      <c r="AD226" s="15" t="s">
        <v>53</v>
      </c>
      <c r="AE226" s="15" t="s">
        <v>54</v>
      </c>
      <c r="AF226" s="15" t="s">
        <v>55</v>
      </c>
      <c r="AG226" s="15"/>
      <c r="AH226" s="14" t="str">
        <f>VLOOKUP(B226,[1]Sheet1!$A$2:$F$294,6,FALSE)</f>
        <v>无</v>
      </c>
      <c r="AI226" s="14">
        <f>VLOOKUP(B226,[1]Sheet1!$A$2:$F$294,4,FALSE)</f>
        <v>0</v>
      </c>
      <c r="AJ226" s="14" t="str">
        <f>VLOOKUP(B226,[1]Sheet1!$A$2:$F$294,5,FALSE)</f>
        <v>无</v>
      </c>
    </row>
    <row r="227" s="2" customFormat="1" ht="14.25" spans="1:36">
      <c r="A227" s="11">
        <v>226</v>
      </c>
      <c r="B227" s="12">
        <v>22408000615</v>
      </c>
      <c r="C227" s="13" t="s">
        <v>1039</v>
      </c>
      <c r="D227" s="14" t="s">
        <v>1002</v>
      </c>
      <c r="E227" s="41" t="s">
        <v>1040</v>
      </c>
      <c r="F227" s="14">
        <v>17775850388</v>
      </c>
      <c r="G227" s="15">
        <v>13874922552</v>
      </c>
      <c r="H227" s="15">
        <v>13874922506</v>
      </c>
      <c r="I227" s="14" t="s">
        <v>58</v>
      </c>
      <c r="J227" s="15">
        <v>2022080006</v>
      </c>
      <c r="K227" s="16" t="s">
        <v>253</v>
      </c>
      <c r="L227" s="14" t="s">
        <v>59</v>
      </c>
      <c r="M227" s="14" t="s">
        <v>206</v>
      </c>
      <c r="N227" s="14" t="s">
        <v>793</v>
      </c>
      <c r="O227" s="15">
        <v>2022</v>
      </c>
      <c r="P227" s="15" t="s">
        <v>41</v>
      </c>
      <c r="Q227" s="15" t="s">
        <v>110</v>
      </c>
      <c r="R227" s="15" t="s">
        <v>63</v>
      </c>
      <c r="S227" s="15" t="s">
        <v>1041</v>
      </c>
      <c r="T227" s="15">
        <v>410100</v>
      </c>
      <c r="U227" s="15" t="s">
        <v>45</v>
      </c>
      <c r="V227" s="15" t="s">
        <v>58</v>
      </c>
      <c r="W227" s="15" t="s">
        <v>41</v>
      </c>
      <c r="X227" s="15" t="s">
        <v>74</v>
      </c>
      <c r="Y227" s="15" t="s">
        <v>47</v>
      </c>
      <c r="Z227" s="15" t="s">
        <v>49</v>
      </c>
      <c r="AA227" s="15" t="s">
        <v>50</v>
      </c>
      <c r="AB227" s="15" t="s">
        <v>67</v>
      </c>
      <c r="AC227" s="15" t="s">
        <v>52</v>
      </c>
      <c r="AD227" s="15" t="s">
        <v>53</v>
      </c>
      <c r="AE227" s="15" t="s">
        <v>54</v>
      </c>
      <c r="AF227" s="15" t="s">
        <v>55</v>
      </c>
      <c r="AG227" s="15"/>
      <c r="AH227" s="14" t="str">
        <f>VLOOKUP(B227,[1]Sheet1!$A$2:$F$294,6,FALSE)</f>
        <v>无</v>
      </c>
      <c r="AI227" s="14">
        <f>VLOOKUP(B227,[1]Sheet1!$A$2:$F$294,4,FALSE)</f>
        <v>1</v>
      </c>
      <c r="AJ227" s="14" t="str">
        <f>VLOOKUP(B227,[1]Sheet1!$A$2:$F$294,5,FALSE)</f>
        <v>无线传感网原理及应用课程设计</v>
      </c>
    </row>
    <row r="228" s="2" customFormat="1" ht="14.25" spans="1:36">
      <c r="A228" s="11">
        <v>227</v>
      </c>
      <c r="B228" s="12">
        <v>22408000616</v>
      </c>
      <c r="C228" s="13" t="s">
        <v>1042</v>
      </c>
      <c r="D228" s="14" t="s">
        <v>1002</v>
      </c>
      <c r="E228" s="41" t="s">
        <v>1043</v>
      </c>
      <c r="F228" s="14">
        <v>18607363269</v>
      </c>
      <c r="G228" s="15">
        <v>15274200231</v>
      </c>
      <c r="H228" s="15">
        <v>17872237115</v>
      </c>
      <c r="I228" s="14" t="s">
        <v>36</v>
      </c>
      <c r="J228" s="15">
        <v>2022080006</v>
      </c>
      <c r="K228" s="16" t="s">
        <v>253</v>
      </c>
      <c r="L228" s="14" t="s">
        <v>38</v>
      </c>
      <c r="M228" s="14" t="s">
        <v>39</v>
      </c>
      <c r="N228" s="14" t="s">
        <v>1044</v>
      </c>
      <c r="O228" s="15">
        <v>2022</v>
      </c>
      <c r="P228" s="15" t="s">
        <v>41</v>
      </c>
      <c r="Q228" s="15" t="s">
        <v>158</v>
      </c>
      <c r="R228" s="15" t="s">
        <v>63</v>
      </c>
      <c r="S228" s="15" t="s">
        <v>1045</v>
      </c>
      <c r="T228" s="15">
        <v>415601</v>
      </c>
      <c r="U228" s="15" t="s">
        <v>45</v>
      </c>
      <c r="V228" s="15" t="s">
        <v>36</v>
      </c>
      <c r="W228" s="15" t="s">
        <v>41</v>
      </c>
      <c r="X228" s="15" t="s">
        <v>47</v>
      </c>
      <c r="Y228" s="15" t="s">
        <v>47</v>
      </c>
      <c r="Z228" s="15" t="s">
        <v>49</v>
      </c>
      <c r="AA228" s="15" t="s">
        <v>50</v>
      </c>
      <c r="AB228" s="15" t="s">
        <v>67</v>
      </c>
      <c r="AC228" s="15" t="s">
        <v>52</v>
      </c>
      <c r="AD228" s="15" t="s">
        <v>672</v>
      </c>
      <c r="AE228" s="15" t="s">
        <v>54</v>
      </c>
      <c r="AF228" s="15" t="s">
        <v>55</v>
      </c>
      <c r="AG228" s="15"/>
      <c r="AH228" s="14" t="str">
        <f>VLOOKUP(B228,[1]Sheet1!$A$2:$F$294,6,FALSE)</f>
        <v>特别困难</v>
      </c>
      <c r="AI228" s="14">
        <f>VLOOKUP(B228,[1]Sheet1!$A$2:$F$294,4,FALSE)</f>
        <v>0</v>
      </c>
      <c r="AJ228" s="14" t="str">
        <f>VLOOKUP(B228,[1]Sheet1!$A$2:$F$294,5,FALSE)</f>
        <v>无</v>
      </c>
    </row>
    <row r="229" s="2" customFormat="1" ht="14.25" spans="1:36">
      <c r="A229" s="11">
        <v>228</v>
      </c>
      <c r="B229" s="12">
        <v>22408000627</v>
      </c>
      <c r="C229" s="13" t="s">
        <v>1046</v>
      </c>
      <c r="D229" s="14" t="s">
        <v>1002</v>
      </c>
      <c r="E229" s="41" t="s">
        <v>1047</v>
      </c>
      <c r="F229" s="14">
        <v>13913291167</v>
      </c>
      <c r="G229" s="15">
        <v>15051706648</v>
      </c>
      <c r="H229" s="15">
        <v>13776274546</v>
      </c>
      <c r="I229" s="14" t="s">
        <v>58</v>
      </c>
      <c r="J229" s="15">
        <v>2022080006</v>
      </c>
      <c r="K229" s="16" t="s">
        <v>253</v>
      </c>
      <c r="L229" s="14" t="s">
        <v>59</v>
      </c>
      <c r="M229" s="14" t="s">
        <v>206</v>
      </c>
      <c r="N229" s="14" t="s">
        <v>1048</v>
      </c>
      <c r="O229" s="15">
        <v>2022</v>
      </c>
      <c r="P229" s="15" t="s">
        <v>41</v>
      </c>
      <c r="Q229" s="15" t="s">
        <v>1049</v>
      </c>
      <c r="R229" s="15" t="s">
        <v>63</v>
      </c>
      <c r="S229" s="15" t="s">
        <v>1050</v>
      </c>
      <c r="T229" s="15">
        <v>215611</v>
      </c>
      <c r="U229" s="15" t="s">
        <v>99</v>
      </c>
      <c r="V229" s="15" t="s">
        <v>58</v>
      </c>
      <c r="W229" s="15" t="s">
        <v>41</v>
      </c>
      <c r="X229" s="15" t="s">
        <v>74</v>
      </c>
      <c r="Y229" s="15" t="s">
        <v>257</v>
      </c>
      <c r="Z229" s="15" t="s">
        <v>49</v>
      </c>
      <c r="AA229" s="15" t="s">
        <v>50</v>
      </c>
      <c r="AB229" s="15" t="s">
        <v>67</v>
      </c>
      <c r="AC229" s="15" t="s">
        <v>52</v>
      </c>
      <c r="AD229" s="15" t="s">
        <v>53</v>
      </c>
      <c r="AE229" s="15" t="s">
        <v>54</v>
      </c>
      <c r="AF229" s="15" t="s">
        <v>55</v>
      </c>
      <c r="AG229" s="15" t="s">
        <v>806</v>
      </c>
      <c r="AH229" s="14" t="str">
        <f>VLOOKUP(B229,[1]Sheet1!$A$2:$F$294,6,FALSE)</f>
        <v>无</v>
      </c>
      <c r="AI229" s="14">
        <f>VLOOKUP(B229,[1]Sheet1!$A$2:$F$294,4,FALSE)</f>
        <v>2</v>
      </c>
      <c r="AJ229" s="14" t="str">
        <f>VLOOKUP(B229,[1]Sheet1!$A$2:$F$294,5,FALSE)</f>
        <v>单片机与接口技术,数据库原理</v>
      </c>
    </row>
    <row r="230" s="2" customFormat="1" ht="14.25" spans="1:36">
      <c r="A230" s="11">
        <v>229</v>
      </c>
      <c r="B230" s="12">
        <v>22408000628</v>
      </c>
      <c r="C230" s="13" t="s">
        <v>1051</v>
      </c>
      <c r="D230" s="14" t="s">
        <v>1002</v>
      </c>
      <c r="E230" s="15" t="s">
        <v>1052</v>
      </c>
      <c r="F230" s="14">
        <v>17346959667</v>
      </c>
      <c r="G230" s="15">
        <v>18188927252</v>
      </c>
      <c r="H230" s="15">
        <v>15085529712</v>
      </c>
      <c r="I230" s="14" t="s">
        <v>58</v>
      </c>
      <c r="J230" s="15">
        <v>2022080006</v>
      </c>
      <c r="K230" s="16" t="s">
        <v>253</v>
      </c>
      <c r="L230" s="14" t="s">
        <v>59</v>
      </c>
      <c r="M230" s="14" t="s">
        <v>206</v>
      </c>
      <c r="N230" s="14" t="s">
        <v>1048</v>
      </c>
      <c r="O230" s="15">
        <v>2022</v>
      </c>
      <c r="P230" s="15" t="s">
        <v>41</v>
      </c>
      <c r="Q230" s="15" t="s">
        <v>1053</v>
      </c>
      <c r="R230" s="15" t="s">
        <v>43</v>
      </c>
      <c r="S230" s="15" t="s">
        <v>1054</v>
      </c>
      <c r="T230" s="15">
        <v>425000</v>
      </c>
      <c r="U230" s="15" t="s">
        <v>45</v>
      </c>
      <c r="V230" s="15" t="s">
        <v>58</v>
      </c>
      <c r="W230" s="15" t="s">
        <v>41</v>
      </c>
      <c r="X230" s="15" t="s">
        <v>74</v>
      </c>
      <c r="Y230" s="15" t="s">
        <v>1055</v>
      </c>
      <c r="Z230" s="15" t="s">
        <v>49</v>
      </c>
      <c r="AA230" s="15" t="s">
        <v>160</v>
      </c>
      <c r="AB230" s="15" t="s">
        <v>67</v>
      </c>
      <c r="AC230" s="15" t="s">
        <v>101</v>
      </c>
      <c r="AD230" s="15" t="s">
        <v>53</v>
      </c>
      <c r="AE230" s="15" t="s">
        <v>54</v>
      </c>
      <c r="AF230" s="15" t="s">
        <v>55</v>
      </c>
      <c r="AG230" s="15"/>
      <c r="AH230" s="14" t="str">
        <f>VLOOKUP(B230,[1]Sheet1!$A$2:$F$294,6,FALSE)</f>
        <v>无</v>
      </c>
      <c r="AI230" s="14">
        <f>VLOOKUP(B230,[1]Sheet1!$A$2:$F$294,4,FALSE)</f>
        <v>0</v>
      </c>
      <c r="AJ230" s="14" t="str">
        <f>VLOOKUP(B230,[1]Sheet1!$A$2:$F$294,5,FALSE)</f>
        <v>无</v>
      </c>
    </row>
    <row r="231" s="2" customFormat="1" ht="14.25" spans="1:36">
      <c r="A231" s="11">
        <v>230</v>
      </c>
      <c r="B231" s="12">
        <v>22408000635</v>
      </c>
      <c r="C231" s="13" t="s">
        <v>1056</v>
      </c>
      <c r="D231" s="14" t="s">
        <v>1002</v>
      </c>
      <c r="E231" s="41" t="s">
        <v>1057</v>
      </c>
      <c r="F231" s="14">
        <v>18995980224</v>
      </c>
      <c r="G231" s="15">
        <v>15027325952</v>
      </c>
      <c r="H231" s="15">
        <v>15827984675</v>
      </c>
      <c r="I231" s="14" t="s">
        <v>58</v>
      </c>
      <c r="J231" s="15">
        <v>2022080006</v>
      </c>
      <c r="K231" s="16" t="s">
        <v>253</v>
      </c>
      <c r="L231" s="14" t="s">
        <v>59</v>
      </c>
      <c r="M231" s="14" t="s">
        <v>206</v>
      </c>
      <c r="N231" s="14" t="s">
        <v>1058</v>
      </c>
      <c r="O231" s="15">
        <v>2022</v>
      </c>
      <c r="P231" s="15" t="s">
        <v>41</v>
      </c>
      <c r="Q231" s="15" t="s">
        <v>1059</v>
      </c>
      <c r="R231" s="15" t="s">
        <v>63</v>
      </c>
      <c r="S231" s="15" t="s">
        <v>1060</v>
      </c>
      <c r="T231" s="15">
        <v>433018</v>
      </c>
      <c r="U231" s="15" t="s">
        <v>243</v>
      </c>
      <c r="V231" s="15" t="s">
        <v>58</v>
      </c>
      <c r="W231" s="15" t="s">
        <v>41</v>
      </c>
      <c r="X231" s="15" t="s">
        <v>74</v>
      </c>
      <c r="Y231" s="15" t="s">
        <v>47</v>
      </c>
      <c r="Z231" s="15" t="s">
        <v>49</v>
      </c>
      <c r="AA231" s="15" t="s">
        <v>50</v>
      </c>
      <c r="AB231" s="15" t="s">
        <v>67</v>
      </c>
      <c r="AC231" s="15" t="s">
        <v>52</v>
      </c>
      <c r="AD231" s="15" t="s">
        <v>53</v>
      </c>
      <c r="AE231" s="15" t="s">
        <v>54</v>
      </c>
      <c r="AF231" s="15" t="s">
        <v>55</v>
      </c>
      <c r="AG231" s="15"/>
      <c r="AH231" s="14" t="str">
        <f>VLOOKUP(B231,[1]Sheet1!$A$2:$F$294,6,FALSE)</f>
        <v>无</v>
      </c>
      <c r="AI231" s="14">
        <f>VLOOKUP(B231,[1]Sheet1!$A$2:$F$294,4,FALSE)</f>
        <v>0</v>
      </c>
      <c r="AJ231" s="14" t="str">
        <f>VLOOKUP(B231,[1]Sheet1!$A$2:$F$294,5,FALSE)</f>
        <v>无</v>
      </c>
    </row>
    <row r="232" s="2" customFormat="1" ht="14.25" spans="1:36">
      <c r="A232" s="11">
        <v>231</v>
      </c>
      <c r="B232" s="12">
        <v>22408000639</v>
      </c>
      <c r="C232" s="13" t="s">
        <v>1061</v>
      </c>
      <c r="D232" s="14" t="s">
        <v>1002</v>
      </c>
      <c r="E232" s="41" t="s">
        <v>1062</v>
      </c>
      <c r="F232" s="14">
        <v>18873583061</v>
      </c>
      <c r="G232" s="15">
        <v>18774269399</v>
      </c>
      <c r="H232" s="15">
        <v>15211796676</v>
      </c>
      <c r="I232" s="14" t="s">
        <v>58</v>
      </c>
      <c r="J232" s="15">
        <v>2022080006</v>
      </c>
      <c r="K232" s="16" t="s">
        <v>253</v>
      </c>
      <c r="L232" s="14" t="s">
        <v>59</v>
      </c>
      <c r="M232" s="14" t="s">
        <v>206</v>
      </c>
      <c r="N232" s="14" t="s">
        <v>280</v>
      </c>
      <c r="O232" s="15">
        <v>2022</v>
      </c>
      <c r="P232" s="15" t="s">
        <v>41</v>
      </c>
      <c r="Q232" s="15" t="s">
        <v>769</v>
      </c>
      <c r="R232" s="15" t="s">
        <v>43</v>
      </c>
      <c r="S232" s="15" t="s">
        <v>1063</v>
      </c>
      <c r="T232" s="15">
        <v>423000</v>
      </c>
      <c r="U232" s="15" t="s">
        <v>45</v>
      </c>
      <c r="V232" s="15" t="s">
        <v>58</v>
      </c>
      <c r="W232" s="15" t="s">
        <v>41</v>
      </c>
      <c r="X232" s="15" t="s">
        <v>74</v>
      </c>
      <c r="Y232" s="15" t="s">
        <v>266</v>
      </c>
      <c r="Z232" s="15" t="s">
        <v>49</v>
      </c>
      <c r="AA232" s="15" t="s">
        <v>50</v>
      </c>
      <c r="AB232" s="15" t="s">
        <v>67</v>
      </c>
      <c r="AC232" s="15" t="s">
        <v>52</v>
      </c>
      <c r="AD232" s="15" t="s">
        <v>53</v>
      </c>
      <c r="AE232" s="15" t="s">
        <v>54</v>
      </c>
      <c r="AF232" s="15" t="s">
        <v>55</v>
      </c>
      <c r="AG232" s="15"/>
      <c r="AH232" s="14" t="str">
        <f>VLOOKUP(B232,[1]Sheet1!$A$2:$F$294,6,FALSE)</f>
        <v>无</v>
      </c>
      <c r="AI232" s="14">
        <f>VLOOKUP(B232,[1]Sheet1!$A$2:$F$294,4,FALSE)</f>
        <v>1</v>
      </c>
      <c r="AJ232" s="14" t="str">
        <f>VLOOKUP(B232,[1]Sheet1!$A$2:$F$294,5,FALSE)</f>
        <v>无线传感网原理及应用课程设计</v>
      </c>
    </row>
    <row r="233" s="2" customFormat="1" ht="14.25" spans="1:36">
      <c r="A233" s="11">
        <v>232</v>
      </c>
      <c r="B233" s="12">
        <v>22408000804</v>
      </c>
      <c r="C233" s="13" t="s">
        <v>1064</v>
      </c>
      <c r="D233" s="14" t="s">
        <v>1002</v>
      </c>
      <c r="E233" s="41" t="s">
        <v>1065</v>
      </c>
      <c r="F233" s="14">
        <v>13627343281</v>
      </c>
      <c r="G233" s="15">
        <v>13875684735</v>
      </c>
      <c r="H233" s="15">
        <v>15211805083</v>
      </c>
      <c r="I233" s="14" t="s">
        <v>58</v>
      </c>
      <c r="J233" s="15">
        <v>2022080008</v>
      </c>
      <c r="K233" s="16" t="s">
        <v>356</v>
      </c>
      <c r="L233" s="14" t="s">
        <v>59</v>
      </c>
      <c r="M233" s="14" t="s">
        <v>152</v>
      </c>
      <c r="N233" s="14" t="s">
        <v>853</v>
      </c>
      <c r="O233" s="15">
        <v>2022</v>
      </c>
      <c r="P233" s="15" t="s">
        <v>41</v>
      </c>
      <c r="Q233" s="15" t="s">
        <v>140</v>
      </c>
      <c r="R233" s="15" t="s">
        <v>43</v>
      </c>
      <c r="S233" s="15" t="s">
        <v>1066</v>
      </c>
      <c r="T233" s="15">
        <v>421000</v>
      </c>
      <c r="U233" s="15" t="s">
        <v>45</v>
      </c>
      <c r="V233" s="15" t="s">
        <v>58</v>
      </c>
      <c r="W233" s="15" t="s">
        <v>46</v>
      </c>
      <c r="X233" s="15" t="s">
        <v>74</v>
      </c>
      <c r="Y233" s="15" t="s">
        <v>48</v>
      </c>
      <c r="Z233" s="15" t="s">
        <v>75</v>
      </c>
      <c r="AA233" s="15" t="s">
        <v>50</v>
      </c>
      <c r="AB233" s="15" t="s">
        <v>67</v>
      </c>
      <c r="AC233" s="15" t="s">
        <v>52</v>
      </c>
      <c r="AD233" s="15" t="s">
        <v>53</v>
      </c>
      <c r="AE233" s="15" t="s">
        <v>54</v>
      </c>
      <c r="AF233" s="15" t="s">
        <v>55</v>
      </c>
      <c r="AG233" s="15"/>
      <c r="AH233" s="14" t="str">
        <f>VLOOKUP(B233,[1]Sheet1!$A$2:$F$294,6,FALSE)</f>
        <v>无</v>
      </c>
      <c r="AI233" s="14">
        <f>VLOOKUP(B233,[1]Sheet1!$A$2:$F$294,4,FALSE)</f>
        <v>0</v>
      </c>
      <c r="AJ233" s="14" t="str">
        <f>VLOOKUP(B233,[1]Sheet1!$A$2:$F$294,5,FALSE)</f>
        <v>无</v>
      </c>
    </row>
    <row r="234" s="2" customFormat="1" ht="14.25" spans="1:36">
      <c r="A234" s="11">
        <v>233</v>
      </c>
      <c r="B234" s="12">
        <v>22408000805</v>
      </c>
      <c r="C234" s="13" t="s">
        <v>1067</v>
      </c>
      <c r="D234" s="14" t="s">
        <v>1002</v>
      </c>
      <c r="E234" s="41" t="s">
        <v>1068</v>
      </c>
      <c r="F234" s="14">
        <v>15672298519</v>
      </c>
      <c r="G234" s="15">
        <v>13174275758</v>
      </c>
      <c r="H234" s="15">
        <v>15574603227</v>
      </c>
      <c r="I234" s="14" t="s">
        <v>58</v>
      </c>
      <c r="J234" s="15">
        <v>2022080008</v>
      </c>
      <c r="K234" s="16" t="s">
        <v>356</v>
      </c>
      <c r="L234" s="14" t="s">
        <v>59</v>
      </c>
      <c r="M234" s="14" t="s">
        <v>152</v>
      </c>
      <c r="N234" s="14" t="s">
        <v>853</v>
      </c>
      <c r="O234" s="15">
        <v>2022</v>
      </c>
      <c r="P234" s="15" t="s">
        <v>41</v>
      </c>
      <c r="Q234" s="15" t="s">
        <v>115</v>
      </c>
      <c r="R234" s="15" t="s">
        <v>63</v>
      </c>
      <c r="S234" s="15" t="s">
        <v>1069</v>
      </c>
      <c r="T234" s="15">
        <v>426185</v>
      </c>
      <c r="U234" s="15" t="s">
        <v>45</v>
      </c>
      <c r="V234" s="15" t="s">
        <v>58</v>
      </c>
      <c r="W234" s="15" t="s">
        <v>46</v>
      </c>
      <c r="X234" s="15" t="s">
        <v>47</v>
      </c>
      <c r="Y234" s="15" t="s">
        <v>48</v>
      </c>
      <c r="Z234" s="15" t="s">
        <v>49</v>
      </c>
      <c r="AA234" s="15" t="s">
        <v>50</v>
      </c>
      <c r="AB234" s="15" t="s">
        <v>67</v>
      </c>
      <c r="AC234" s="15" t="s">
        <v>52</v>
      </c>
      <c r="AD234" s="15" t="s">
        <v>53</v>
      </c>
      <c r="AE234" s="15" t="s">
        <v>54</v>
      </c>
      <c r="AF234" s="15" t="s">
        <v>55</v>
      </c>
      <c r="AG234" s="15" t="s">
        <v>305</v>
      </c>
      <c r="AH234" s="14" t="str">
        <f>VLOOKUP(B234,[1]Sheet1!$A$2:$F$294,6,FALSE)</f>
        <v>特别困难</v>
      </c>
      <c r="AI234" s="14">
        <f>VLOOKUP(B234,[1]Sheet1!$A$2:$F$294,4,FALSE)</f>
        <v>0</v>
      </c>
      <c r="AJ234" s="14" t="str">
        <f>VLOOKUP(B234,[1]Sheet1!$A$2:$F$294,5,FALSE)</f>
        <v>无</v>
      </c>
    </row>
    <row r="235" s="2" customFormat="1" ht="14.25" spans="1:36">
      <c r="A235" s="11">
        <v>234</v>
      </c>
      <c r="B235" s="12">
        <v>22408000808</v>
      </c>
      <c r="C235" s="13" t="s">
        <v>1070</v>
      </c>
      <c r="D235" s="14" t="s">
        <v>1002</v>
      </c>
      <c r="E235" s="41" t="s">
        <v>1071</v>
      </c>
      <c r="F235" s="14">
        <v>18216387863</v>
      </c>
      <c r="G235" s="15">
        <v>13574014061</v>
      </c>
      <c r="H235" s="15">
        <v>13808401443</v>
      </c>
      <c r="I235" s="14" t="s">
        <v>58</v>
      </c>
      <c r="J235" s="15">
        <v>2022080008</v>
      </c>
      <c r="K235" s="16" t="s">
        <v>356</v>
      </c>
      <c r="L235" s="14" t="s">
        <v>59</v>
      </c>
      <c r="M235" s="14" t="s">
        <v>152</v>
      </c>
      <c r="N235" s="14" t="s">
        <v>357</v>
      </c>
      <c r="O235" s="15">
        <v>2022</v>
      </c>
      <c r="P235" s="15" t="s">
        <v>41</v>
      </c>
      <c r="Q235" s="15" t="s">
        <v>255</v>
      </c>
      <c r="R235" s="15" t="s">
        <v>43</v>
      </c>
      <c r="S235" s="15" t="s">
        <v>1072</v>
      </c>
      <c r="T235" s="15">
        <v>414400</v>
      </c>
      <c r="U235" s="15" t="s">
        <v>45</v>
      </c>
      <c r="V235" s="15" t="s">
        <v>58</v>
      </c>
      <c r="W235" s="15" t="s">
        <v>46</v>
      </c>
      <c r="X235" s="15" t="s">
        <v>74</v>
      </c>
      <c r="Y235" s="15" t="s">
        <v>47</v>
      </c>
      <c r="Z235" s="15" t="s">
        <v>75</v>
      </c>
      <c r="AA235" s="15" t="s">
        <v>50</v>
      </c>
      <c r="AB235" s="15" t="s">
        <v>67</v>
      </c>
      <c r="AC235" s="15" t="s">
        <v>52</v>
      </c>
      <c r="AD235" s="15" t="s">
        <v>53</v>
      </c>
      <c r="AE235" s="15" t="s">
        <v>54</v>
      </c>
      <c r="AF235" s="15" t="s">
        <v>55</v>
      </c>
      <c r="AG235" s="15"/>
      <c r="AH235" s="14" t="str">
        <f>VLOOKUP(B235,[1]Sheet1!$A$2:$F$294,6,FALSE)</f>
        <v>无</v>
      </c>
      <c r="AI235" s="14">
        <f>VLOOKUP(B235,[1]Sheet1!$A$2:$F$294,4,FALSE)</f>
        <v>0</v>
      </c>
      <c r="AJ235" s="14" t="str">
        <f>VLOOKUP(B235,[1]Sheet1!$A$2:$F$294,5,FALSE)</f>
        <v>无</v>
      </c>
    </row>
    <row r="236" s="2" customFormat="1" ht="14.25" spans="1:36">
      <c r="A236" s="11">
        <v>235</v>
      </c>
      <c r="B236" s="12">
        <v>22408000818</v>
      </c>
      <c r="C236" s="13" t="s">
        <v>1073</v>
      </c>
      <c r="D236" s="14" t="s">
        <v>1002</v>
      </c>
      <c r="E236" s="41" t="s">
        <v>1074</v>
      </c>
      <c r="F236" s="14">
        <v>18333987152</v>
      </c>
      <c r="G236" s="15">
        <v>13293123377</v>
      </c>
      <c r="H236" s="15">
        <v>18632987093</v>
      </c>
      <c r="I236" s="14" t="s">
        <v>58</v>
      </c>
      <c r="J236" s="15">
        <v>2022080008</v>
      </c>
      <c r="K236" s="16" t="s">
        <v>356</v>
      </c>
      <c r="L236" s="14" t="s">
        <v>59</v>
      </c>
      <c r="M236" s="14" t="s">
        <v>152</v>
      </c>
      <c r="N236" s="14" t="s">
        <v>376</v>
      </c>
      <c r="O236" s="15">
        <v>2022</v>
      </c>
      <c r="P236" s="15" t="s">
        <v>41</v>
      </c>
      <c r="Q236" s="15" t="s">
        <v>1075</v>
      </c>
      <c r="R236" s="15" t="s">
        <v>43</v>
      </c>
      <c r="S236" s="15" t="s">
        <v>1076</v>
      </c>
      <c r="T236" s="15">
        <v>54500</v>
      </c>
      <c r="U236" s="15" t="s">
        <v>65</v>
      </c>
      <c r="V236" s="15" t="s">
        <v>58</v>
      </c>
      <c r="W236" s="15" t="s">
        <v>46</v>
      </c>
      <c r="X236" s="15" t="s">
        <v>74</v>
      </c>
      <c r="Y236" s="15" t="s">
        <v>48</v>
      </c>
      <c r="Z236" s="15" t="s">
        <v>49</v>
      </c>
      <c r="AA236" s="15" t="s">
        <v>50</v>
      </c>
      <c r="AB236" s="15" t="s">
        <v>67</v>
      </c>
      <c r="AC236" s="15" t="s">
        <v>52</v>
      </c>
      <c r="AD236" s="15" t="s">
        <v>53</v>
      </c>
      <c r="AE236" s="15" t="s">
        <v>54</v>
      </c>
      <c r="AF236" s="15" t="s">
        <v>55</v>
      </c>
      <c r="AG236" s="15"/>
      <c r="AH236" s="14" t="str">
        <f>VLOOKUP(B236,[1]Sheet1!$A$2:$F$294,6,FALSE)</f>
        <v>无</v>
      </c>
      <c r="AI236" s="14">
        <f>VLOOKUP(B236,[1]Sheet1!$A$2:$F$294,4,FALSE)</f>
        <v>0</v>
      </c>
      <c r="AJ236" s="14" t="str">
        <f>VLOOKUP(B236,[1]Sheet1!$A$2:$F$294,5,FALSE)</f>
        <v>无</v>
      </c>
    </row>
    <row r="237" s="2" customFormat="1" ht="14.25" spans="1:36">
      <c r="A237" s="11">
        <v>236</v>
      </c>
      <c r="B237" s="12">
        <v>22408000823</v>
      </c>
      <c r="C237" s="13" t="s">
        <v>1077</v>
      </c>
      <c r="D237" s="14" t="s">
        <v>1002</v>
      </c>
      <c r="E237" s="41" t="s">
        <v>1078</v>
      </c>
      <c r="F237" s="14">
        <v>17375973017</v>
      </c>
      <c r="G237" s="15">
        <v>18974601376</v>
      </c>
      <c r="H237" s="15">
        <v>17763680335</v>
      </c>
      <c r="I237" s="14" t="s">
        <v>58</v>
      </c>
      <c r="J237" s="15">
        <v>2022080008</v>
      </c>
      <c r="K237" s="16" t="s">
        <v>356</v>
      </c>
      <c r="L237" s="14" t="s">
        <v>59</v>
      </c>
      <c r="M237" s="14" t="s">
        <v>152</v>
      </c>
      <c r="N237" s="14" t="s">
        <v>384</v>
      </c>
      <c r="O237" s="15">
        <v>2022</v>
      </c>
      <c r="P237" s="15" t="s">
        <v>41</v>
      </c>
      <c r="Q237" s="15" t="s">
        <v>115</v>
      </c>
      <c r="R237" s="15" t="s">
        <v>63</v>
      </c>
      <c r="S237" s="15" t="s">
        <v>1079</v>
      </c>
      <c r="T237" s="15">
        <v>425700</v>
      </c>
      <c r="U237" s="15" t="s">
        <v>45</v>
      </c>
      <c r="V237" s="15" t="s">
        <v>58</v>
      </c>
      <c r="W237" s="15" t="s">
        <v>46</v>
      </c>
      <c r="X237" s="15" t="s">
        <v>74</v>
      </c>
      <c r="Y237" s="15" t="s">
        <v>47</v>
      </c>
      <c r="Z237" s="15" t="s">
        <v>75</v>
      </c>
      <c r="AA237" s="15" t="s">
        <v>50</v>
      </c>
      <c r="AB237" s="15" t="s">
        <v>67</v>
      </c>
      <c r="AC237" s="15" t="s">
        <v>52</v>
      </c>
      <c r="AD237" s="15" t="s">
        <v>53</v>
      </c>
      <c r="AE237" s="15" t="s">
        <v>54</v>
      </c>
      <c r="AF237" s="15" t="s">
        <v>55</v>
      </c>
      <c r="AG237" s="15" t="s">
        <v>1080</v>
      </c>
      <c r="AH237" s="14" t="str">
        <f>VLOOKUP(B237,[1]Sheet1!$A$2:$F$294,6,FALSE)</f>
        <v>无</v>
      </c>
      <c r="AI237" s="14">
        <f>VLOOKUP(B237,[1]Sheet1!$A$2:$F$294,4,FALSE)</f>
        <v>3</v>
      </c>
      <c r="AJ237" s="14" t="str">
        <f>VLOOKUP(B237,[1]Sheet1!$A$2:$F$294,5,FALSE)</f>
        <v>Java程序设计,数据结构,计算机组成原理</v>
      </c>
    </row>
    <row r="238" s="2" customFormat="1" ht="14.25" spans="1:36">
      <c r="A238" s="11">
        <v>237</v>
      </c>
      <c r="B238" s="12">
        <v>22408000824</v>
      </c>
      <c r="C238" s="13" t="s">
        <v>1081</v>
      </c>
      <c r="D238" s="14" t="s">
        <v>1002</v>
      </c>
      <c r="E238" s="41" t="s">
        <v>1082</v>
      </c>
      <c r="F238" s="14">
        <v>15338776040</v>
      </c>
      <c r="G238" s="15">
        <v>13356470755</v>
      </c>
      <c r="H238" s="15">
        <v>15118274828</v>
      </c>
      <c r="I238" s="14" t="s">
        <v>58</v>
      </c>
      <c r="J238" s="15">
        <v>2022080008</v>
      </c>
      <c r="K238" s="16" t="s">
        <v>356</v>
      </c>
      <c r="L238" s="14" t="s">
        <v>59</v>
      </c>
      <c r="M238" s="14" t="s">
        <v>152</v>
      </c>
      <c r="N238" s="14" t="s">
        <v>384</v>
      </c>
      <c r="O238" s="15">
        <v>2022</v>
      </c>
      <c r="P238" s="15" t="s">
        <v>482</v>
      </c>
      <c r="Q238" s="15" t="s">
        <v>115</v>
      </c>
      <c r="R238" s="15" t="s">
        <v>63</v>
      </c>
      <c r="S238" s="15" t="s">
        <v>1083</v>
      </c>
      <c r="T238" s="15">
        <v>523376</v>
      </c>
      <c r="U238" s="15" t="s">
        <v>45</v>
      </c>
      <c r="V238" s="15" t="s">
        <v>58</v>
      </c>
      <c r="W238" s="15" t="s">
        <v>46</v>
      </c>
      <c r="X238" s="15" t="s">
        <v>74</v>
      </c>
      <c r="Y238" s="15" t="s">
        <v>88</v>
      </c>
      <c r="Z238" s="15" t="s">
        <v>49</v>
      </c>
      <c r="AA238" s="15" t="s">
        <v>50</v>
      </c>
      <c r="AB238" s="15" t="s">
        <v>67</v>
      </c>
      <c r="AC238" s="15" t="s">
        <v>52</v>
      </c>
      <c r="AD238" s="15" t="s">
        <v>53</v>
      </c>
      <c r="AE238" s="15" t="s">
        <v>54</v>
      </c>
      <c r="AF238" s="15" t="s">
        <v>55</v>
      </c>
      <c r="AG238" s="15"/>
      <c r="AH238" s="14" t="str">
        <f>VLOOKUP(B238,[1]Sheet1!$A$2:$F$294,6,FALSE)</f>
        <v>无</v>
      </c>
      <c r="AI238" s="14">
        <f>VLOOKUP(B238,[1]Sheet1!$A$2:$F$294,4,FALSE)</f>
        <v>0</v>
      </c>
      <c r="AJ238" s="14" t="str">
        <f>VLOOKUP(B238,[1]Sheet1!$A$2:$F$294,5,FALSE)</f>
        <v>无</v>
      </c>
    </row>
    <row r="239" s="2" customFormat="1" ht="14.25" spans="1:36">
      <c r="A239" s="11">
        <v>238</v>
      </c>
      <c r="B239" s="12">
        <v>22408000828</v>
      </c>
      <c r="C239" s="13" t="s">
        <v>1084</v>
      </c>
      <c r="D239" s="14" t="s">
        <v>1002</v>
      </c>
      <c r="E239" s="41" t="s">
        <v>1085</v>
      </c>
      <c r="F239" s="14">
        <v>15028777037</v>
      </c>
      <c r="G239" s="15">
        <v>13482928069</v>
      </c>
      <c r="H239" s="15">
        <v>15075899953</v>
      </c>
      <c r="I239" s="14" t="s">
        <v>36</v>
      </c>
      <c r="J239" s="15">
        <v>2022080008</v>
      </c>
      <c r="K239" s="16" t="s">
        <v>356</v>
      </c>
      <c r="L239" s="14" t="s">
        <v>38</v>
      </c>
      <c r="M239" s="14" t="s">
        <v>39</v>
      </c>
      <c r="N239" s="14" t="s">
        <v>870</v>
      </c>
      <c r="O239" s="15">
        <v>2022</v>
      </c>
      <c r="P239" s="15" t="s">
        <v>41</v>
      </c>
      <c r="Q239" s="15" t="s">
        <v>1086</v>
      </c>
      <c r="R239" s="15" t="s">
        <v>43</v>
      </c>
      <c r="S239" s="15" t="s">
        <v>1087</v>
      </c>
      <c r="T239" s="15">
        <v>53700</v>
      </c>
      <c r="U239" s="15" t="s">
        <v>65</v>
      </c>
      <c r="V239" s="15" t="s">
        <v>36</v>
      </c>
      <c r="W239" s="15" t="s">
        <v>46</v>
      </c>
      <c r="X239" s="15" t="s">
        <v>74</v>
      </c>
      <c r="Y239" s="15" t="s">
        <v>48</v>
      </c>
      <c r="Z239" s="15" t="s">
        <v>75</v>
      </c>
      <c r="AA239" s="15" t="s">
        <v>50</v>
      </c>
      <c r="AB239" s="15" t="s">
        <v>67</v>
      </c>
      <c r="AC239" s="15" t="s">
        <v>52</v>
      </c>
      <c r="AD239" s="15" t="s">
        <v>53</v>
      </c>
      <c r="AE239" s="15" t="s">
        <v>54</v>
      </c>
      <c r="AF239" s="15" t="s">
        <v>55</v>
      </c>
      <c r="AG239" s="15"/>
      <c r="AH239" s="14" t="str">
        <f>VLOOKUP(B239,[1]Sheet1!$A$2:$F$294,6,FALSE)</f>
        <v>无</v>
      </c>
      <c r="AI239" s="14">
        <f>VLOOKUP(B239,[1]Sheet1!$A$2:$F$294,4,FALSE)</f>
        <v>0</v>
      </c>
      <c r="AJ239" s="14" t="str">
        <f>VLOOKUP(B239,[1]Sheet1!$A$2:$F$294,5,FALSE)</f>
        <v>无</v>
      </c>
    </row>
    <row r="240" s="2" customFormat="1" ht="14.25" spans="1:36">
      <c r="A240" s="11">
        <v>239</v>
      </c>
      <c r="B240" s="12">
        <v>22408000833</v>
      </c>
      <c r="C240" s="13" t="s">
        <v>1088</v>
      </c>
      <c r="D240" s="14" t="s">
        <v>1002</v>
      </c>
      <c r="E240" s="41" t="s">
        <v>1089</v>
      </c>
      <c r="F240" s="14">
        <v>13377920211</v>
      </c>
      <c r="G240" s="15">
        <v>18007251556</v>
      </c>
      <c r="H240" s="15">
        <v>13971710950</v>
      </c>
      <c r="I240" s="14" t="s">
        <v>36</v>
      </c>
      <c r="J240" s="15">
        <v>2022080008</v>
      </c>
      <c r="K240" s="16" t="s">
        <v>356</v>
      </c>
      <c r="L240" s="14" t="s">
        <v>38</v>
      </c>
      <c r="M240" s="14" t="s">
        <v>39</v>
      </c>
      <c r="N240" s="14" t="s">
        <v>870</v>
      </c>
      <c r="O240" s="15">
        <v>2022</v>
      </c>
      <c r="P240" s="15" t="s">
        <v>41</v>
      </c>
      <c r="Q240" s="15" t="s">
        <v>1090</v>
      </c>
      <c r="R240" s="15" t="s">
        <v>63</v>
      </c>
      <c r="S240" s="15" t="s">
        <v>1091</v>
      </c>
      <c r="T240" s="15">
        <v>438800</v>
      </c>
      <c r="U240" s="15" t="s">
        <v>243</v>
      </c>
      <c r="V240" s="15" t="s">
        <v>36</v>
      </c>
      <c r="W240" s="15" t="s">
        <v>46</v>
      </c>
      <c r="X240" s="15" t="s">
        <v>74</v>
      </c>
      <c r="Y240" s="15" t="s">
        <v>47</v>
      </c>
      <c r="Z240" s="15" t="s">
        <v>49</v>
      </c>
      <c r="AA240" s="15" t="s">
        <v>50</v>
      </c>
      <c r="AB240" s="15" t="s">
        <v>67</v>
      </c>
      <c r="AC240" s="15" t="s">
        <v>52</v>
      </c>
      <c r="AD240" s="15" t="s">
        <v>53</v>
      </c>
      <c r="AE240" s="15" t="s">
        <v>54</v>
      </c>
      <c r="AF240" s="15" t="s">
        <v>55</v>
      </c>
      <c r="AG240" s="15"/>
      <c r="AH240" s="14" t="str">
        <f>VLOOKUP(B240,[1]Sheet1!$A$2:$F$294,6,FALSE)</f>
        <v>无</v>
      </c>
      <c r="AI240" s="14">
        <f>VLOOKUP(B240,[1]Sheet1!$A$2:$F$294,4,FALSE)</f>
        <v>0</v>
      </c>
      <c r="AJ240" s="14" t="str">
        <f>VLOOKUP(B240,[1]Sheet1!$A$2:$F$294,5,FALSE)</f>
        <v>无</v>
      </c>
    </row>
    <row r="241" s="2" customFormat="1" ht="14.25" spans="1:36">
      <c r="A241" s="11">
        <v>240</v>
      </c>
      <c r="B241" s="12">
        <v>22408000842</v>
      </c>
      <c r="C241" s="13" t="s">
        <v>1092</v>
      </c>
      <c r="D241" s="14" t="s">
        <v>1002</v>
      </c>
      <c r="E241" s="41" t="s">
        <v>1093</v>
      </c>
      <c r="F241" s="14">
        <v>19196139181</v>
      </c>
      <c r="G241" s="15">
        <v>13862812513</v>
      </c>
      <c r="H241" s="15">
        <v>18073663695</v>
      </c>
      <c r="I241" s="14" t="s">
        <v>58</v>
      </c>
      <c r="J241" s="15">
        <v>2022080008</v>
      </c>
      <c r="K241" s="16" t="s">
        <v>356</v>
      </c>
      <c r="L241" s="14" t="s">
        <v>59</v>
      </c>
      <c r="M241" s="14" t="s">
        <v>152</v>
      </c>
      <c r="N241" s="14" t="s">
        <v>417</v>
      </c>
      <c r="O241" s="15">
        <v>2022</v>
      </c>
      <c r="P241" s="15" t="s">
        <v>41</v>
      </c>
      <c r="Q241" s="15" t="s">
        <v>1094</v>
      </c>
      <c r="R241" s="15" t="s">
        <v>63</v>
      </c>
      <c r="S241" s="15" t="s">
        <v>1095</v>
      </c>
      <c r="T241" s="15">
        <v>415900</v>
      </c>
      <c r="U241" s="15" t="s">
        <v>45</v>
      </c>
      <c r="V241" s="15" t="s">
        <v>58</v>
      </c>
      <c r="W241" s="15" t="s">
        <v>46</v>
      </c>
      <c r="X241" s="15" t="s">
        <v>74</v>
      </c>
      <c r="Y241" s="15" t="s">
        <v>88</v>
      </c>
      <c r="Z241" s="15" t="s">
        <v>75</v>
      </c>
      <c r="AA241" s="15" t="s">
        <v>100</v>
      </c>
      <c r="AB241" s="15" t="s">
        <v>51</v>
      </c>
      <c r="AC241" s="15" t="s">
        <v>52</v>
      </c>
      <c r="AD241" s="15" t="s">
        <v>53</v>
      </c>
      <c r="AE241" s="15" t="s">
        <v>54</v>
      </c>
      <c r="AF241" s="15" t="s">
        <v>55</v>
      </c>
      <c r="AG241" s="15"/>
      <c r="AH241" s="14" t="str">
        <f>VLOOKUP(B241,[1]Sheet1!$A$2:$F$294,6,FALSE)</f>
        <v>无</v>
      </c>
      <c r="AI241" s="14">
        <f>VLOOKUP(B241,[1]Sheet1!$A$2:$F$294,4,FALSE)</f>
        <v>0</v>
      </c>
      <c r="AJ241" s="14" t="str">
        <f>VLOOKUP(B241,[1]Sheet1!$A$2:$F$294,5,FALSE)</f>
        <v>无</v>
      </c>
    </row>
    <row r="242" s="2" customFormat="1" ht="14.25" spans="1:36">
      <c r="A242" s="11">
        <v>241</v>
      </c>
      <c r="B242" s="12">
        <v>22408000926</v>
      </c>
      <c r="C242" s="13" t="s">
        <v>1096</v>
      </c>
      <c r="D242" s="14" t="s">
        <v>1002</v>
      </c>
      <c r="E242" s="41" t="s">
        <v>1097</v>
      </c>
      <c r="F242" s="14">
        <v>18758503172</v>
      </c>
      <c r="G242" s="15">
        <v>18073590925</v>
      </c>
      <c r="H242" s="15">
        <v>13587390246</v>
      </c>
      <c r="I242" s="14" t="s">
        <v>58</v>
      </c>
      <c r="J242" s="15">
        <v>2022080009</v>
      </c>
      <c r="K242" s="16" t="s">
        <v>205</v>
      </c>
      <c r="L242" s="14" t="s">
        <v>59</v>
      </c>
      <c r="M242" s="14" t="s">
        <v>206</v>
      </c>
      <c r="N242" s="14" t="s">
        <v>1098</v>
      </c>
      <c r="O242" s="15">
        <v>2022</v>
      </c>
      <c r="P242" s="15" t="s">
        <v>41</v>
      </c>
      <c r="Q242" s="15" t="s">
        <v>1099</v>
      </c>
      <c r="R242" s="15" t="s">
        <v>63</v>
      </c>
      <c r="S242" s="15" t="s">
        <v>1100</v>
      </c>
      <c r="T242" s="15">
        <v>423300</v>
      </c>
      <c r="U242" s="15" t="s">
        <v>45</v>
      </c>
      <c r="V242" s="15" t="s">
        <v>58</v>
      </c>
      <c r="W242" s="15" t="s">
        <v>46</v>
      </c>
      <c r="X242" s="15" t="s">
        <v>74</v>
      </c>
      <c r="Y242" s="15" t="s">
        <v>136</v>
      </c>
      <c r="Z242" s="15" t="s">
        <v>49</v>
      </c>
      <c r="AA242" s="15" t="s">
        <v>160</v>
      </c>
      <c r="AB242" s="15" t="s">
        <v>51</v>
      </c>
      <c r="AC242" s="15" t="s">
        <v>101</v>
      </c>
      <c r="AD242" s="15" t="s">
        <v>53</v>
      </c>
      <c r="AE242" s="15" t="s">
        <v>54</v>
      </c>
      <c r="AF242" s="15" t="s">
        <v>55</v>
      </c>
      <c r="AG242" s="15"/>
      <c r="AH242" s="14" t="str">
        <f>VLOOKUP(B242,[1]Sheet1!$A$2:$F$294,6,FALSE)</f>
        <v>无</v>
      </c>
      <c r="AI242" s="14">
        <f>VLOOKUP(B242,[1]Sheet1!$A$2:$F$294,4,FALSE)</f>
        <v>0</v>
      </c>
      <c r="AJ242" s="14" t="str">
        <f>VLOOKUP(B242,[1]Sheet1!$A$2:$F$294,5,FALSE)</f>
        <v>无</v>
      </c>
    </row>
    <row r="243" s="2" customFormat="1" ht="14.25" spans="1:36">
      <c r="A243" s="11">
        <v>242</v>
      </c>
      <c r="B243" s="12">
        <v>22408000931</v>
      </c>
      <c r="C243" s="13" t="s">
        <v>1101</v>
      </c>
      <c r="D243" s="14" t="s">
        <v>1002</v>
      </c>
      <c r="E243" s="41" t="s">
        <v>1102</v>
      </c>
      <c r="F243" s="14">
        <v>18273770408</v>
      </c>
      <c r="G243" s="15">
        <v>13873750588</v>
      </c>
      <c r="H243" s="15">
        <v>15873742974</v>
      </c>
      <c r="I243" s="14" t="s">
        <v>58</v>
      </c>
      <c r="J243" s="15">
        <v>2022080009</v>
      </c>
      <c r="K243" s="16" t="s">
        <v>205</v>
      </c>
      <c r="L243" s="14" t="s">
        <v>59</v>
      </c>
      <c r="M243" s="14" t="s">
        <v>206</v>
      </c>
      <c r="N243" s="14" t="s">
        <v>226</v>
      </c>
      <c r="O243" s="15">
        <v>2022</v>
      </c>
      <c r="P243" s="15" t="s">
        <v>41</v>
      </c>
      <c r="Q243" s="15" t="s">
        <v>1103</v>
      </c>
      <c r="R243" s="15" t="s">
        <v>43</v>
      </c>
      <c r="S243" s="15" t="s">
        <v>1104</v>
      </c>
      <c r="T243" s="15">
        <v>413002</v>
      </c>
      <c r="U243" s="15" t="s">
        <v>45</v>
      </c>
      <c r="V243" s="15" t="s">
        <v>58</v>
      </c>
      <c r="W243" s="15" t="s">
        <v>46</v>
      </c>
      <c r="X243" s="15" t="s">
        <v>74</v>
      </c>
      <c r="Y243" s="15" t="s">
        <v>47</v>
      </c>
      <c r="Z243" s="15" t="s">
        <v>1105</v>
      </c>
      <c r="AA243" s="15" t="s">
        <v>50</v>
      </c>
      <c r="AB243" s="15" t="s">
        <v>67</v>
      </c>
      <c r="AC243" s="15" t="s">
        <v>101</v>
      </c>
      <c r="AD243" s="15" t="s">
        <v>53</v>
      </c>
      <c r="AE243" s="15" t="s">
        <v>54</v>
      </c>
      <c r="AF243" s="15" t="s">
        <v>55</v>
      </c>
      <c r="AG243" s="15"/>
      <c r="AH243" s="14" t="str">
        <f>VLOOKUP(B243,[1]Sheet1!$A$2:$F$294,6,FALSE)</f>
        <v>无</v>
      </c>
      <c r="AI243" s="14">
        <f>VLOOKUP(B243,[1]Sheet1!$A$2:$F$294,4,FALSE)</f>
        <v>0</v>
      </c>
      <c r="AJ243" s="14" t="str">
        <f>VLOOKUP(B243,[1]Sheet1!$A$2:$F$294,5,FALSE)</f>
        <v>无</v>
      </c>
    </row>
    <row r="244" s="2" customFormat="1" ht="14.25" spans="1:36">
      <c r="A244" s="11">
        <v>243</v>
      </c>
      <c r="B244" s="12">
        <v>22408000932</v>
      </c>
      <c r="C244" s="13" t="s">
        <v>1106</v>
      </c>
      <c r="D244" s="14" t="s">
        <v>1002</v>
      </c>
      <c r="E244" s="41" t="s">
        <v>1107</v>
      </c>
      <c r="F244" s="14">
        <v>19186651706</v>
      </c>
      <c r="G244" s="15">
        <v>18273688819</v>
      </c>
      <c r="H244" s="15">
        <v>18711639600</v>
      </c>
      <c r="I244" s="14" t="s">
        <v>58</v>
      </c>
      <c r="J244" s="15">
        <v>2022080009</v>
      </c>
      <c r="K244" s="16" t="s">
        <v>205</v>
      </c>
      <c r="L244" s="14" t="s">
        <v>59</v>
      </c>
      <c r="M244" s="14" t="s">
        <v>206</v>
      </c>
      <c r="N244" s="14" t="s">
        <v>247</v>
      </c>
      <c r="O244" s="15">
        <v>2022</v>
      </c>
      <c r="P244" s="15" t="s">
        <v>41</v>
      </c>
      <c r="Q244" s="15" t="s">
        <v>413</v>
      </c>
      <c r="R244" s="15" t="s">
        <v>63</v>
      </c>
      <c r="S244" s="15" t="s">
        <v>1108</v>
      </c>
      <c r="T244" s="15">
        <v>415203</v>
      </c>
      <c r="U244" s="15" t="s">
        <v>45</v>
      </c>
      <c r="V244" s="15" t="s">
        <v>58</v>
      </c>
      <c r="W244" s="15" t="s">
        <v>46</v>
      </c>
      <c r="X244" s="15" t="s">
        <v>74</v>
      </c>
      <c r="Y244" s="15" t="s">
        <v>136</v>
      </c>
      <c r="Z244" s="15" t="s">
        <v>49</v>
      </c>
      <c r="AA244" s="15" t="s">
        <v>50</v>
      </c>
      <c r="AB244" s="15" t="s">
        <v>67</v>
      </c>
      <c r="AC244" s="15" t="s">
        <v>52</v>
      </c>
      <c r="AD244" s="15" t="s">
        <v>53</v>
      </c>
      <c r="AE244" s="15" t="s">
        <v>54</v>
      </c>
      <c r="AF244" s="15" t="s">
        <v>55</v>
      </c>
      <c r="AG244" s="15"/>
      <c r="AH244" s="14" t="str">
        <f>VLOOKUP(B244,[1]Sheet1!$A$2:$F$294,6,FALSE)</f>
        <v>无</v>
      </c>
      <c r="AI244" s="14">
        <f>VLOOKUP(B244,[1]Sheet1!$A$2:$F$294,4,FALSE)</f>
        <v>0</v>
      </c>
      <c r="AJ244" s="14" t="str">
        <f>VLOOKUP(B244,[1]Sheet1!$A$2:$F$294,5,FALSE)</f>
        <v>无</v>
      </c>
    </row>
    <row r="245" s="2" customFormat="1" ht="14.25" spans="1:36">
      <c r="A245" s="11">
        <v>244</v>
      </c>
      <c r="B245" s="12">
        <v>22408000942</v>
      </c>
      <c r="C245" s="13" t="s">
        <v>1109</v>
      </c>
      <c r="D245" s="14" t="s">
        <v>1002</v>
      </c>
      <c r="E245" s="41" t="s">
        <v>1110</v>
      </c>
      <c r="F245" s="14">
        <v>13187164719</v>
      </c>
      <c r="G245" s="15">
        <v>13975461193</v>
      </c>
      <c r="H245" s="15">
        <v>13575124987</v>
      </c>
      <c r="I245" s="14" t="s">
        <v>58</v>
      </c>
      <c r="J245" s="15">
        <v>2022080009</v>
      </c>
      <c r="K245" s="16" t="s">
        <v>205</v>
      </c>
      <c r="L245" s="14" t="s">
        <v>59</v>
      </c>
      <c r="M245" s="14" t="s">
        <v>206</v>
      </c>
      <c r="N245" s="14" t="s">
        <v>735</v>
      </c>
      <c r="O245" s="15">
        <v>2022</v>
      </c>
      <c r="P245" s="15" t="s">
        <v>41</v>
      </c>
      <c r="Q245" s="15" t="s">
        <v>1111</v>
      </c>
      <c r="R245" s="15" t="s">
        <v>63</v>
      </c>
      <c r="S245" s="15" t="s">
        <v>1112</v>
      </c>
      <c r="T245" s="15">
        <v>421000</v>
      </c>
      <c r="U245" s="15" t="s">
        <v>45</v>
      </c>
      <c r="V245" s="15" t="s">
        <v>58</v>
      </c>
      <c r="W245" s="15" t="s">
        <v>46</v>
      </c>
      <c r="X245" s="15" t="s">
        <v>47</v>
      </c>
      <c r="Y245" s="15" t="s">
        <v>132</v>
      </c>
      <c r="Z245" s="15" t="s">
        <v>49</v>
      </c>
      <c r="AA245" s="15" t="s">
        <v>50</v>
      </c>
      <c r="AB245" s="15" t="s">
        <v>67</v>
      </c>
      <c r="AC245" s="15" t="s">
        <v>67</v>
      </c>
      <c r="AD245" s="15" t="s">
        <v>53</v>
      </c>
      <c r="AE245" s="15" t="s">
        <v>54</v>
      </c>
      <c r="AF245" s="15" t="s">
        <v>55</v>
      </c>
      <c r="AG245" s="15" t="s">
        <v>1113</v>
      </c>
      <c r="AH245" s="14" t="str">
        <f>VLOOKUP(B245,[1]Sheet1!$A$2:$F$294,6,FALSE)</f>
        <v>特别困难</v>
      </c>
      <c r="AI245" s="14">
        <f>VLOOKUP(B245,[1]Sheet1!$A$2:$F$294,4,FALSE)</f>
        <v>0</v>
      </c>
      <c r="AJ245" s="14" t="str">
        <f>VLOOKUP(B245,[1]Sheet1!$A$2:$F$294,5,FALSE)</f>
        <v>无</v>
      </c>
    </row>
    <row r="246" s="2" customFormat="1" ht="14.25" spans="1:36">
      <c r="A246" s="11">
        <v>245</v>
      </c>
      <c r="B246" s="21">
        <v>22404200637</v>
      </c>
      <c r="C246" s="22" t="s">
        <v>1114</v>
      </c>
      <c r="D246" s="14" t="s">
        <v>34</v>
      </c>
      <c r="E246" s="23" t="s">
        <v>1115</v>
      </c>
      <c r="F246" s="14">
        <v>18711989306</v>
      </c>
      <c r="G246" s="24">
        <v>13407396862</v>
      </c>
      <c r="H246" s="24">
        <v>17773972779</v>
      </c>
      <c r="I246" s="14" t="s">
        <v>58</v>
      </c>
      <c r="J246" s="24"/>
      <c r="K246" s="25" t="s">
        <v>1116</v>
      </c>
      <c r="L246" s="14" t="s">
        <v>38</v>
      </c>
      <c r="M246" s="14" t="s">
        <v>152</v>
      </c>
      <c r="N246" s="14" t="s">
        <v>1117</v>
      </c>
      <c r="O246" s="24">
        <v>2022</v>
      </c>
      <c r="P246" s="24" t="s">
        <v>1118</v>
      </c>
      <c r="Q246" s="24" t="s">
        <v>1119</v>
      </c>
      <c r="R246" s="24" t="s">
        <v>1120</v>
      </c>
      <c r="S246" s="24" t="s">
        <v>577</v>
      </c>
      <c r="T246" s="24">
        <v>422300</v>
      </c>
      <c r="U246" s="24" t="s">
        <v>45</v>
      </c>
      <c r="V246" s="15" t="s">
        <v>58</v>
      </c>
      <c r="W246" s="15" t="s">
        <v>41</v>
      </c>
      <c r="X246" s="24" t="s">
        <v>1121</v>
      </c>
      <c r="Y246" s="24" t="s">
        <v>1122</v>
      </c>
      <c r="Z246" s="24" t="s">
        <v>1123</v>
      </c>
      <c r="AA246" s="24" t="s">
        <v>1124</v>
      </c>
      <c r="AB246" s="24" t="s">
        <v>1125</v>
      </c>
      <c r="AC246" s="24" t="s">
        <v>1126</v>
      </c>
      <c r="AD246" s="24" t="s">
        <v>1127</v>
      </c>
      <c r="AE246" s="24" t="s">
        <v>1128</v>
      </c>
      <c r="AF246" s="24" t="s">
        <v>1128</v>
      </c>
      <c r="AG246" s="15" t="s">
        <v>305</v>
      </c>
      <c r="AH246" s="14" t="str">
        <f>VLOOKUP(B246,[1]Sheet1!$A$2:$F$294,6,FALSE)</f>
        <v>无</v>
      </c>
      <c r="AI246" s="14">
        <f>VLOOKUP(B246,[1]Sheet1!$A$2:$F$294,4,FALSE)</f>
        <v>1</v>
      </c>
      <c r="AJ246" s="14" t="str">
        <f>VLOOKUP(B246,[1]Sheet1!$A$2:$F$294,5,FALSE)</f>
        <v>程序设计语言（C语言）</v>
      </c>
    </row>
    <row r="247" s="2" customFormat="1" ht="14.25" spans="1:36">
      <c r="A247" s="11">
        <v>246</v>
      </c>
      <c r="B247" s="21">
        <v>22404200119</v>
      </c>
      <c r="C247" s="22" t="s">
        <v>1129</v>
      </c>
      <c r="D247" s="14" t="s">
        <v>34</v>
      </c>
      <c r="E247" s="24" t="s">
        <v>1130</v>
      </c>
      <c r="F247" s="14">
        <v>18379895058</v>
      </c>
      <c r="G247" s="24">
        <v>13879717068</v>
      </c>
      <c r="H247" s="24">
        <v>13687072801</v>
      </c>
      <c r="I247" s="14" t="s">
        <v>58</v>
      </c>
      <c r="J247" s="24"/>
      <c r="K247" s="25" t="s">
        <v>1131</v>
      </c>
      <c r="L247" s="14" t="s">
        <v>59</v>
      </c>
      <c r="M247" s="14" t="s">
        <v>1132</v>
      </c>
      <c r="N247" s="14" t="s">
        <v>1133</v>
      </c>
      <c r="O247" s="24">
        <v>2022</v>
      </c>
      <c r="P247" s="24" t="s">
        <v>1118</v>
      </c>
      <c r="Q247" s="24" t="s">
        <v>1134</v>
      </c>
      <c r="R247" s="24" t="s">
        <v>1120</v>
      </c>
      <c r="S247" s="24" t="s">
        <v>1135</v>
      </c>
      <c r="T247" s="24">
        <v>342700</v>
      </c>
      <c r="U247" s="24" t="s">
        <v>1136</v>
      </c>
      <c r="V247" s="24" t="s">
        <v>1137</v>
      </c>
      <c r="W247" s="24" t="s">
        <v>1134</v>
      </c>
      <c r="X247" s="24" t="s">
        <v>1138</v>
      </c>
      <c r="Y247" s="24" t="s">
        <v>1121</v>
      </c>
      <c r="Z247" s="24" t="s">
        <v>1139</v>
      </c>
      <c r="AA247" s="24" t="s">
        <v>1124</v>
      </c>
      <c r="AB247" s="24" t="s">
        <v>1125</v>
      </c>
      <c r="AC247" s="24" t="s">
        <v>1126</v>
      </c>
      <c r="AD247" s="24" t="s">
        <v>1127</v>
      </c>
      <c r="AE247" s="24" t="s">
        <v>1128</v>
      </c>
      <c r="AF247" s="24" t="s">
        <v>1128</v>
      </c>
      <c r="AG247" s="15"/>
      <c r="AH247" s="14" t="str">
        <f>VLOOKUP(B247,[1]Sheet1!$A$2:$F$294,6,FALSE)</f>
        <v>一般困难</v>
      </c>
      <c r="AI247" s="14">
        <f>VLOOKUP(B247,[1]Sheet1!$A$2:$F$294,4,FALSE)</f>
        <v>0</v>
      </c>
      <c r="AJ247" s="14" t="str">
        <f>VLOOKUP(B247,[1]Sheet1!$A$2:$F$294,5,FALSE)</f>
        <v>无</v>
      </c>
    </row>
    <row r="248" s="2" customFormat="1" ht="14.25" spans="1:36">
      <c r="A248" s="11">
        <v>247</v>
      </c>
      <c r="B248" s="21">
        <v>20403000125</v>
      </c>
      <c r="C248" s="22" t="s">
        <v>1140</v>
      </c>
      <c r="D248" s="14" t="s">
        <v>34</v>
      </c>
      <c r="E248" s="24" t="s">
        <v>1141</v>
      </c>
      <c r="F248" s="14">
        <v>18174460320</v>
      </c>
      <c r="G248" s="24">
        <v>13974476665</v>
      </c>
      <c r="H248" s="24">
        <v>18107445181</v>
      </c>
      <c r="I248" s="14" t="s">
        <v>58</v>
      </c>
      <c r="J248" s="24"/>
      <c r="K248" s="25" t="s">
        <v>1142</v>
      </c>
      <c r="L248" s="14" t="s">
        <v>59</v>
      </c>
      <c r="M248" s="14" t="s">
        <v>1143</v>
      </c>
      <c r="N248" s="14" t="s">
        <v>1144</v>
      </c>
      <c r="O248" s="24">
        <v>2020</v>
      </c>
      <c r="P248" s="24" t="s">
        <v>1145</v>
      </c>
      <c r="Q248" s="24" t="s">
        <v>1146</v>
      </c>
      <c r="R248" s="24" t="s">
        <v>1147</v>
      </c>
      <c r="S248" s="24" t="s">
        <v>1148</v>
      </c>
      <c r="T248" s="24">
        <v>427100</v>
      </c>
      <c r="U248" s="24" t="s">
        <v>1136</v>
      </c>
      <c r="V248" s="24" t="s">
        <v>1149</v>
      </c>
      <c r="W248" s="24" t="s">
        <v>1146</v>
      </c>
      <c r="X248" s="24" t="s">
        <v>1121</v>
      </c>
      <c r="Y248" s="24" t="s">
        <v>1138</v>
      </c>
      <c r="Z248" s="24" t="s">
        <v>1123</v>
      </c>
      <c r="AA248" s="24" t="s">
        <v>1124</v>
      </c>
      <c r="AB248" s="24" t="s">
        <v>1125</v>
      </c>
      <c r="AC248" s="24" t="s">
        <v>1126</v>
      </c>
      <c r="AD248" s="24" t="s">
        <v>1127</v>
      </c>
      <c r="AE248" s="24" t="s">
        <v>1128</v>
      </c>
      <c r="AF248" s="24" t="s">
        <v>1128</v>
      </c>
      <c r="AG248" s="15"/>
      <c r="AH248" s="14" t="str">
        <f>VLOOKUP(B248,[1]Sheet1!$A$2:$F$294,6,FALSE)</f>
        <v>无</v>
      </c>
      <c r="AI248" s="14">
        <f>VLOOKUP(B248,[1]Sheet1!$A$2:$F$294,4,FALSE)</f>
        <v>0</v>
      </c>
      <c r="AJ248" s="14" t="str">
        <f>VLOOKUP(B248,[1]Sheet1!$A$2:$F$294,5,FALSE)</f>
        <v>无</v>
      </c>
    </row>
    <row r="249" s="2" customFormat="1" ht="14.25" spans="1:36">
      <c r="A249" s="11">
        <v>248</v>
      </c>
      <c r="B249" s="21">
        <v>22495000539</v>
      </c>
      <c r="C249" s="22" t="s">
        <v>1150</v>
      </c>
      <c r="D249" s="14" t="s">
        <v>34</v>
      </c>
      <c r="E249" s="24" t="s">
        <v>1151</v>
      </c>
      <c r="F249" s="14">
        <v>15039335267</v>
      </c>
      <c r="G249" s="24">
        <v>15517692966</v>
      </c>
      <c r="H249" s="24">
        <v>15893275063</v>
      </c>
      <c r="I249" s="14" t="s">
        <v>58</v>
      </c>
      <c r="J249" s="24"/>
      <c r="K249" s="25" t="s">
        <v>1152</v>
      </c>
      <c r="L249" s="14" t="s">
        <v>59</v>
      </c>
      <c r="M249" s="14" t="s">
        <v>1132</v>
      </c>
      <c r="N249" s="14" t="s">
        <v>1153</v>
      </c>
      <c r="O249" s="24">
        <v>2022</v>
      </c>
      <c r="P249" s="24" t="s">
        <v>1118</v>
      </c>
      <c r="Q249" s="24" t="s">
        <v>1154</v>
      </c>
      <c r="R249" s="24" t="s">
        <v>1155</v>
      </c>
      <c r="S249" s="24" t="s">
        <v>1156</v>
      </c>
      <c r="T249" s="24">
        <v>457000</v>
      </c>
      <c r="U249" s="24" t="s">
        <v>1136</v>
      </c>
      <c r="V249" s="24" t="s">
        <v>1137</v>
      </c>
      <c r="W249" s="24" t="s">
        <v>1157</v>
      </c>
      <c r="X249" s="24" t="s">
        <v>1121</v>
      </c>
      <c r="Y249" s="24" t="s">
        <v>1138</v>
      </c>
      <c r="Z249" s="24" t="s">
        <v>1123</v>
      </c>
      <c r="AA249" s="24" t="s">
        <v>1124</v>
      </c>
      <c r="AB249" s="24" t="s">
        <v>1125</v>
      </c>
      <c r="AC249" s="24" t="s">
        <v>1126</v>
      </c>
      <c r="AD249" s="24" t="s">
        <v>1127</v>
      </c>
      <c r="AE249" s="24" t="s">
        <v>1128</v>
      </c>
      <c r="AF249" s="24" t="s">
        <v>1128</v>
      </c>
      <c r="AG249" s="15"/>
      <c r="AH249" s="14" t="str">
        <f>VLOOKUP(B249,[1]Sheet1!$A$2:$F$294,6,FALSE)</f>
        <v>无</v>
      </c>
      <c r="AI249" s="14">
        <f>VLOOKUP(B249,[1]Sheet1!$A$2:$F$294,4,FALSE)</f>
        <v>0</v>
      </c>
      <c r="AJ249" s="14" t="str">
        <f>VLOOKUP(B249,[1]Sheet1!$A$2:$F$294,5,FALSE)</f>
        <v>无</v>
      </c>
    </row>
    <row r="250" s="2" customFormat="1" ht="14.25" spans="1:36">
      <c r="A250" s="11">
        <v>249</v>
      </c>
      <c r="B250" s="21">
        <v>22418300226</v>
      </c>
      <c r="C250" s="22" t="s">
        <v>1158</v>
      </c>
      <c r="D250" s="14" t="s">
        <v>34</v>
      </c>
      <c r="E250" s="23" t="s">
        <v>1159</v>
      </c>
      <c r="F250" s="14">
        <v>17774484152</v>
      </c>
      <c r="G250" s="24">
        <v>13517444152</v>
      </c>
      <c r="H250" s="24">
        <v>13574443958</v>
      </c>
      <c r="I250" s="14" t="s">
        <v>58</v>
      </c>
      <c r="J250" s="24"/>
      <c r="K250" s="25" t="s">
        <v>1160</v>
      </c>
      <c r="L250" s="14" t="s">
        <v>59</v>
      </c>
      <c r="M250" s="14" t="s">
        <v>1143</v>
      </c>
      <c r="N250" s="14" t="s">
        <v>1161</v>
      </c>
      <c r="O250" s="24">
        <v>2022</v>
      </c>
      <c r="P250" s="24" t="s">
        <v>1162</v>
      </c>
      <c r="Q250" s="24" t="s">
        <v>1146</v>
      </c>
      <c r="R250" s="24" t="s">
        <v>1155</v>
      </c>
      <c r="S250" s="24" t="s">
        <v>1163</v>
      </c>
      <c r="T250" s="24">
        <v>427200</v>
      </c>
      <c r="U250" s="24" t="s">
        <v>1136</v>
      </c>
      <c r="V250" s="24" t="s">
        <v>1164</v>
      </c>
      <c r="W250" s="24" t="s">
        <v>1146</v>
      </c>
      <c r="X250" s="24" t="s">
        <v>1121</v>
      </c>
      <c r="Y250" s="24" t="s">
        <v>1138</v>
      </c>
      <c r="Z250" s="24" t="s">
        <v>1123</v>
      </c>
      <c r="AA250" s="24" t="s">
        <v>1124</v>
      </c>
      <c r="AB250" s="24" t="s">
        <v>1125</v>
      </c>
      <c r="AC250" s="24" t="s">
        <v>1126</v>
      </c>
      <c r="AD250" s="24" t="s">
        <v>1127</v>
      </c>
      <c r="AE250" s="24" t="s">
        <v>1128</v>
      </c>
      <c r="AF250" s="24" t="s">
        <v>1128</v>
      </c>
      <c r="AG250" s="15"/>
      <c r="AH250" s="14" t="str">
        <f>VLOOKUP(B250,[1]Sheet1!$A$2:$F$294,6,FALSE)</f>
        <v>无</v>
      </c>
      <c r="AI250" s="14">
        <f>VLOOKUP(B250,[1]Sheet1!$A$2:$F$294,4,FALSE)</f>
        <v>0</v>
      </c>
      <c r="AJ250" s="14" t="str">
        <f>VLOOKUP(B250,[1]Sheet1!$A$2:$F$294,5,FALSE)</f>
        <v>无</v>
      </c>
    </row>
    <row r="251" s="2" customFormat="1" ht="14.25" spans="1:36">
      <c r="A251" s="11">
        <v>250</v>
      </c>
      <c r="B251" s="21">
        <v>22495000210</v>
      </c>
      <c r="C251" s="22" t="s">
        <v>1165</v>
      </c>
      <c r="D251" s="14" t="s">
        <v>34</v>
      </c>
      <c r="E251" s="23" t="s">
        <v>1166</v>
      </c>
      <c r="F251" s="14">
        <v>18373016099</v>
      </c>
      <c r="G251" s="24">
        <v>13975012000</v>
      </c>
      <c r="H251" s="24">
        <v>18373012000</v>
      </c>
      <c r="I251" s="14" t="s">
        <v>36</v>
      </c>
      <c r="J251" s="24"/>
      <c r="K251" s="25" t="s">
        <v>1167</v>
      </c>
      <c r="L251" s="14" t="s">
        <v>38</v>
      </c>
      <c r="M251" s="14" t="s">
        <v>39</v>
      </c>
      <c r="N251" s="14" t="s">
        <v>1168</v>
      </c>
      <c r="O251" s="24">
        <v>2022</v>
      </c>
      <c r="P251" s="24" t="s">
        <v>1118</v>
      </c>
      <c r="Q251" s="24" t="s">
        <v>1169</v>
      </c>
      <c r="R251" s="24" t="s">
        <v>1155</v>
      </c>
      <c r="S251" s="24" t="s">
        <v>1170</v>
      </c>
      <c r="T251" s="24">
        <v>414020</v>
      </c>
      <c r="U251" s="24" t="s">
        <v>1171</v>
      </c>
      <c r="V251" s="24" t="s">
        <v>1137</v>
      </c>
      <c r="W251" s="24" t="s">
        <v>1169</v>
      </c>
      <c r="X251" s="24" t="s">
        <v>1121</v>
      </c>
      <c r="Y251" s="24" t="s">
        <v>1172</v>
      </c>
      <c r="Z251" s="24" t="s">
        <v>1123</v>
      </c>
      <c r="AA251" s="24" t="s">
        <v>1124</v>
      </c>
      <c r="AB251" s="24" t="s">
        <v>1125</v>
      </c>
      <c r="AC251" s="24" t="s">
        <v>1126</v>
      </c>
      <c r="AD251" s="24" t="s">
        <v>1127</v>
      </c>
      <c r="AE251" s="24" t="s">
        <v>1128</v>
      </c>
      <c r="AF251" s="24" t="s">
        <v>1128</v>
      </c>
      <c r="AG251" s="15"/>
      <c r="AH251" s="14" t="str">
        <f>VLOOKUP(B251,[1]Sheet1!$A$2:$F$294,6,FALSE)</f>
        <v>无</v>
      </c>
      <c r="AI251" s="14">
        <f>VLOOKUP(B251,[1]Sheet1!$A$2:$F$294,4,FALSE)</f>
        <v>0</v>
      </c>
      <c r="AJ251" s="14" t="str">
        <f>VLOOKUP(B251,[1]Sheet1!$A$2:$F$294,5,FALSE)</f>
        <v>无</v>
      </c>
    </row>
    <row r="252" s="2" customFormat="1" ht="14.25" spans="1:36">
      <c r="A252" s="11">
        <v>251</v>
      </c>
      <c r="B252" s="21">
        <v>22403000609</v>
      </c>
      <c r="C252" s="22" t="s">
        <v>1173</v>
      </c>
      <c r="D252" s="14" t="s">
        <v>34</v>
      </c>
      <c r="E252" s="23" t="s">
        <v>1174</v>
      </c>
      <c r="F252" s="14">
        <v>15570791780</v>
      </c>
      <c r="G252" s="24">
        <v>15200959489</v>
      </c>
      <c r="H252" s="24">
        <v>15574634987</v>
      </c>
      <c r="I252" s="14" t="s">
        <v>58</v>
      </c>
      <c r="J252" s="24"/>
      <c r="K252" s="25" t="s">
        <v>1175</v>
      </c>
      <c r="L252" s="14" t="s">
        <v>38</v>
      </c>
      <c r="M252" s="14" t="s">
        <v>1176</v>
      </c>
      <c r="N252" s="14" t="s">
        <v>1177</v>
      </c>
      <c r="O252" s="24">
        <v>2022</v>
      </c>
      <c r="P252" s="24" t="s">
        <v>1118</v>
      </c>
      <c r="Q252" s="24" t="s">
        <v>1178</v>
      </c>
      <c r="R252" s="24" t="s">
        <v>1155</v>
      </c>
      <c r="S252" s="24" t="s">
        <v>1179</v>
      </c>
      <c r="T252" s="24">
        <v>425000</v>
      </c>
      <c r="U252" s="24" t="s">
        <v>1136</v>
      </c>
      <c r="V252" s="24" t="s">
        <v>1137</v>
      </c>
      <c r="W252" s="24" t="s">
        <v>1178</v>
      </c>
      <c r="X252" s="24" t="s">
        <v>1121</v>
      </c>
      <c r="Y252" s="24" t="s">
        <v>1121</v>
      </c>
      <c r="Z252" s="24" t="s">
        <v>1139</v>
      </c>
      <c r="AA252" s="24" t="s">
        <v>1124</v>
      </c>
      <c r="AB252" s="24" t="s">
        <v>1125</v>
      </c>
      <c r="AC252" s="24" t="s">
        <v>1126</v>
      </c>
      <c r="AD252" s="24" t="s">
        <v>1127</v>
      </c>
      <c r="AE252" s="24" t="s">
        <v>1128</v>
      </c>
      <c r="AF252" s="24" t="s">
        <v>1128</v>
      </c>
      <c r="AG252" s="15"/>
      <c r="AH252" s="14" t="str">
        <f>VLOOKUP(B252,[1]Sheet1!$A$2:$F$294,6,FALSE)</f>
        <v>无</v>
      </c>
      <c r="AI252" s="14">
        <f>VLOOKUP(B252,[1]Sheet1!$A$2:$F$294,4,FALSE)</f>
        <v>0</v>
      </c>
      <c r="AJ252" s="14" t="str">
        <f>VLOOKUP(B252,[1]Sheet1!$A$2:$F$294,5,FALSE)</f>
        <v>无</v>
      </c>
    </row>
    <row r="253" s="2" customFormat="1" ht="14.25" spans="1:36">
      <c r="A253" s="11">
        <v>252</v>
      </c>
      <c r="B253" s="21">
        <v>21403110114</v>
      </c>
      <c r="C253" s="22" t="s">
        <v>1180</v>
      </c>
      <c r="D253" s="14" t="s">
        <v>34</v>
      </c>
      <c r="E253" s="23" t="s">
        <v>1181</v>
      </c>
      <c r="F253" s="14">
        <v>19313292137</v>
      </c>
      <c r="G253" s="24">
        <v>13541330515</v>
      </c>
      <c r="H253" s="24">
        <v>13541603096</v>
      </c>
      <c r="I253" s="14" t="s">
        <v>58</v>
      </c>
      <c r="J253" s="24"/>
      <c r="K253" s="25" t="s">
        <v>1182</v>
      </c>
      <c r="L253" s="14" t="s">
        <v>38</v>
      </c>
      <c r="M253" s="14" t="s">
        <v>1183</v>
      </c>
      <c r="N253" s="14" t="s">
        <v>1184</v>
      </c>
      <c r="O253" s="24">
        <v>2021</v>
      </c>
      <c r="P253" s="24" t="s">
        <v>1118</v>
      </c>
      <c r="Q253" s="24" t="s">
        <v>1185</v>
      </c>
      <c r="R253" s="24" t="s">
        <v>1155</v>
      </c>
      <c r="S253" s="24" t="s">
        <v>1186</v>
      </c>
      <c r="T253" s="24">
        <v>641109</v>
      </c>
      <c r="U253" s="24" t="s">
        <v>364</v>
      </c>
      <c r="V253" s="15" t="s">
        <v>58</v>
      </c>
      <c r="W253" s="15" t="s">
        <v>41</v>
      </c>
      <c r="X253" s="24" t="s">
        <v>1121</v>
      </c>
      <c r="Y253" s="24" t="s">
        <v>1138</v>
      </c>
      <c r="Z253" s="24" t="s">
        <v>1139</v>
      </c>
      <c r="AA253" s="24" t="s">
        <v>1187</v>
      </c>
      <c r="AB253" s="24" t="s">
        <v>1188</v>
      </c>
      <c r="AC253" s="24" t="s">
        <v>1189</v>
      </c>
      <c r="AD253" s="24" t="s">
        <v>1127</v>
      </c>
      <c r="AE253" s="24" t="s">
        <v>1128</v>
      </c>
      <c r="AF253" s="24" t="s">
        <v>1128</v>
      </c>
      <c r="AG253" s="15" t="s">
        <v>249</v>
      </c>
      <c r="AH253" s="14" t="str">
        <f>VLOOKUP(B253,[1]Sheet1!$A$2:$F$294,6,FALSE)</f>
        <v>无</v>
      </c>
      <c r="AI253" s="14">
        <f>VLOOKUP(B253,[1]Sheet1!$A$2:$F$294,4,FALSE)</f>
        <v>5</v>
      </c>
      <c r="AJ253" s="14" t="str">
        <f>VLOOKUP(B253,[1]Sheet1!$A$2:$F$294,5,FALSE)</f>
        <v>Java web程序设计,Python程序设计,数据分析方法,计算机操作系统,计算机网络</v>
      </c>
    </row>
    <row r="254" s="2" customFormat="1" ht="14.25" spans="1:36">
      <c r="A254" s="11">
        <v>253</v>
      </c>
      <c r="B254" s="21">
        <v>22404200523</v>
      </c>
      <c r="C254" s="22" t="s">
        <v>1190</v>
      </c>
      <c r="D254" s="14" t="s">
        <v>34</v>
      </c>
      <c r="E254" s="24" t="s">
        <v>1191</v>
      </c>
      <c r="F254" s="14">
        <v>18075118976</v>
      </c>
      <c r="G254" s="24">
        <v>13667308020</v>
      </c>
      <c r="H254" s="24">
        <v>13107427679</v>
      </c>
      <c r="I254" s="14" t="s">
        <v>58</v>
      </c>
      <c r="J254" s="24"/>
      <c r="K254" s="25" t="s">
        <v>1192</v>
      </c>
      <c r="L254" s="14" t="s">
        <v>38</v>
      </c>
      <c r="M254" s="14" t="s">
        <v>152</v>
      </c>
      <c r="N254" s="14" t="s">
        <v>1193</v>
      </c>
      <c r="O254" s="24">
        <v>2022</v>
      </c>
      <c r="P254" s="24" t="s">
        <v>1118</v>
      </c>
      <c r="Q254" s="24" t="s">
        <v>1194</v>
      </c>
      <c r="R254" s="24" t="s">
        <v>1155</v>
      </c>
      <c r="S254" s="24" t="s">
        <v>1195</v>
      </c>
      <c r="T254" s="24">
        <v>410000</v>
      </c>
      <c r="U254" s="24" t="s">
        <v>45</v>
      </c>
      <c r="V254" s="15" t="s">
        <v>58</v>
      </c>
      <c r="W254" s="15" t="s">
        <v>41</v>
      </c>
      <c r="X254" s="24" t="s">
        <v>1121</v>
      </c>
      <c r="Y254" s="24" t="s">
        <v>1138</v>
      </c>
      <c r="Z254" s="24" t="s">
        <v>1139</v>
      </c>
      <c r="AA254" s="24" t="s">
        <v>1124</v>
      </c>
      <c r="AB254" s="24" t="s">
        <v>1125</v>
      </c>
      <c r="AC254" s="24" t="s">
        <v>1126</v>
      </c>
      <c r="AD254" s="24" t="s">
        <v>1127</v>
      </c>
      <c r="AE254" s="24" t="s">
        <v>1128</v>
      </c>
      <c r="AF254" s="24" t="s">
        <v>1128</v>
      </c>
      <c r="AG254" s="15" t="s">
        <v>244</v>
      </c>
      <c r="AH254" s="14" t="str">
        <f>VLOOKUP(B254,[1]Sheet1!$A$2:$F$294,6,FALSE)</f>
        <v>无</v>
      </c>
      <c r="AI254" s="14">
        <f>VLOOKUP(B254,[1]Sheet1!$A$2:$F$294,4,FALSE)</f>
        <v>1</v>
      </c>
      <c r="AJ254" s="14" t="str">
        <f>VLOOKUP(B254,[1]Sheet1!$A$2:$F$294,5,FALSE)</f>
        <v>计算机操作系统</v>
      </c>
    </row>
    <row r="255" s="2" customFormat="1" ht="14.25" spans="1:36">
      <c r="A255" s="11">
        <v>254</v>
      </c>
      <c r="B255" s="21">
        <v>22401200427</v>
      </c>
      <c r="C255" s="22" t="s">
        <v>1196</v>
      </c>
      <c r="D255" s="14" t="s">
        <v>34</v>
      </c>
      <c r="E255" s="23" t="s">
        <v>1197</v>
      </c>
      <c r="F255" s="14">
        <v>15150184438</v>
      </c>
      <c r="G255" s="24">
        <v>13402615736</v>
      </c>
      <c r="H255" s="24">
        <v>18914062178</v>
      </c>
      <c r="I255" s="14" t="s">
        <v>58</v>
      </c>
      <c r="J255" s="24"/>
      <c r="K255" s="25" t="s">
        <v>1198</v>
      </c>
      <c r="L255" s="14" t="s">
        <v>59</v>
      </c>
      <c r="M255" s="14" t="s">
        <v>1199</v>
      </c>
      <c r="N255" s="14" t="s">
        <v>1200</v>
      </c>
      <c r="O255" s="24">
        <v>2022</v>
      </c>
      <c r="P255" s="24" t="s">
        <v>1118</v>
      </c>
      <c r="Q255" s="24" t="s">
        <v>1201</v>
      </c>
      <c r="R255" s="24" t="s">
        <v>1120</v>
      </c>
      <c r="S255" s="24" t="s">
        <v>1202</v>
      </c>
      <c r="T255" s="24">
        <v>215101</v>
      </c>
      <c r="U255" s="24" t="s">
        <v>1136</v>
      </c>
      <c r="V255" s="24" t="s">
        <v>1137</v>
      </c>
      <c r="W255" s="24" t="s">
        <v>1203</v>
      </c>
      <c r="X255" s="24" t="s">
        <v>1121</v>
      </c>
      <c r="Y255" s="24" t="s">
        <v>1138</v>
      </c>
      <c r="Z255" s="24" t="s">
        <v>1123</v>
      </c>
      <c r="AA255" s="24" t="s">
        <v>1124</v>
      </c>
      <c r="AB255" s="24" t="s">
        <v>1125</v>
      </c>
      <c r="AC255" s="24" t="s">
        <v>1126</v>
      </c>
      <c r="AD255" s="24" t="s">
        <v>1127</v>
      </c>
      <c r="AE255" s="24" t="s">
        <v>1128</v>
      </c>
      <c r="AF255" s="24" t="s">
        <v>1128</v>
      </c>
      <c r="AG255" s="15"/>
      <c r="AH255" s="14" t="str">
        <f>VLOOKUP(B255,[1]Sheet1!$A$2:$F$294,6,FALSE)</f>
        <v>无</v>
      </c>
      <c r="AI255" s="14">
        <f>VLOOKUP(B255,[1]Sheet1!$A$2:$F$294,4,FALSE)</f>
        <v>0</v>
      </c>
      <c r="AJ255" s="14" t="str">
        <f>VLOOKUP(B255,[1]Sheet1!$A$2:$F$294,5,FALSE)</f>
        <v>无</v>
      </c>
    </row>
    <row r="256" s="2" customFormat="1" ht="14.25" spans="1:36">
      <c r="A256" s="11">
        <v>255</v>
      </c>
      <c r="B256" s="21">
        <v>22495001030</v>
      </c>
      <c r="C256" s="22" t="s">
        <v>1204</v>
      </c>
      <c r="D256" s="14" t="s">
        <v>34</v>
      </c>
      <c r="E256" s="23" t="s">
        <v>1205</v>
      </c>
      <c r="F256" s="14">
        <v>17876669718</v>
      </c>
      <c r="G256" s="24">
        <v>18820025788</v>
      </c>
      <c r="H256" s="24">
        <v>18820024588</v>
      </c>
      <c r="I256" s="14" t="s">
        <v>58</v>
      </c>
      <c r="J256" s="24"/>
      <c r="K256" s="25" t="s">
        <v>1206</v>
      </c>
      <c r="L256" s="14" t="s">
        <v>38</v>
      </c>
      <c r="M256" s="14" t="s">
        <v>152</v>
      </c>
      <c r="N256" s="14">
        <v>102</v>
      </c>
      <c r="O256" s="24">
        <v>2022</v>
      </c>
      <c r="P256" s="24" t="s">
        <v>1118</v>
      </c>
      <c r="Q256" s="24" t="s">
        <v>1207</v>
      </c>
      <c r="R256" s="24" t="s">
        <v>1120</v>
      </c>
      <c r="S256" s="24" t="s">
        <v>1208</v>
      </c>
      <c r="T256" s="24">
        <v>511400</v>
      </c>
      <c r="U256" s="24" t="s">
        <v>1136</v>
      </c>
      <c r="V256" s="24" t="s">
        <v>1137</v>
      </c>
      <c r="W256" s="24" t="s">
        <v>1209</v>
      </c>
      <c r="X256" s="24" t="s">
        <v>1121</v>
      </c>
      <c r="Y256" s="24" t="s">
        <v>1138</v>
      </c>
      <c r="Z256" s="24" t="s">
        <v>1123</v>
      </c>
      <c r="AA256" s="24" t="s">
        <v>1210</v>
      </c>
      <c r="AB256" s="24" t="s">
        <v>1125</v>
      </c>
      <c r="AC256" s="24" t="s">
        <v>1126</v>
      </c>
      <c r="AD256" s="24" t="s">
        <v>1127</v>
      </c>
      <c r="AE256" s="24" t="s">
        <v>1128</v>
      </c>
      <c r="AF256" s="24" t="s">
        <v>1128</v>
      </c>
      <c r="AG256" s="15"/>
      <c r="AH256" s="14" t="str">
        <f>VLOOKUP(B256,[1]Sheet1!$A$2:$F$294,6,FALSE)</f>
        <v>无</v>
      </c>
      <c r="AI256" s="14">
        <f>VLOOKUP(B256,[1]Sheet1!$A$2:$F$294,4,FALSE)</f>
        <v>0</v>
      </c>
      <c r="AJ256" s="14" t="str">
        <f>VLOOKUP(B256,[1]Sheet1!$A$2:$F$294,5,FALSE)</f>
        <v>无</v>
      </c>
    </row>
    <row r="257" s="4" customFormat="1" ht="14.25" spans="1:36">
      <c r="A257" s="11">
        <v>256</v>
      </c>
      <c r="B257" s="26">
        <v>22401100133</v>
      </c>
      <c r="C257" s="22" t="s">
        <v>1211</v>
      </c>
      <c r="D257" s="14" t="s">
        <v>251</v>
      </c>
      <c r="E257" s="27" t="s">
        <v>1212</v>
      </c>
      <c r="F257" s="28">
        <v>18469406686</v>
      </c>
      <c r="G257" s="29">
        <v>13577828797</v>
      </c>
      <c r="H257" s="29">
        <v>14708783087</v>
      </c>
      <c r="I257" s="28" t="s">
        <v>58</v>
      </c>
      <c r="J257" s="29"/>
      <c r="K257" s="16" t="s">
        <v>1213</v>
      </c>
      <c r="L257" s="28" t="s">
        <v>38</v>
      </c>
      <c r="M257" s="28" t="s">
        <v>1214</v>
      </c>
      <c r="N257" s="28">
        <v>409</v>
      </c>
      <c r="O257" s="29">
        <v>2022</v>
      </c>
      <c r="P257" s="29" t="s">
        <v>41</v>
      </c>
      <c r="Q257" s="29" t="s">
        <v>1215</v>
      </c>
      <c r="R257" s="29" t="s">
        <v>63</v>
      </c>
      <c r="S257" s="29"/>
      <c r="T257" s="29"/>
      <c r="U257" s="29"/>
      <c r="V257" s="29"/>
      <c r="W257" s="29"/>
      <c r="X257" s="29"/>
      <c r="Y257" s="29" t="s">
        <v>74</v>
      </c>
      <c r="Z257" s="29" t="s">
        <v>49</v>
      </c>
      <c r="AA257" s="29" t="s">
        <v>50</v>
      </c>
      <c r="AB257" s="29" t="s">
        <v>67</v>
      </c>
      <c r="AC257" s="29" t="s">
        <v>52</v>
      </c>
      <c r="AD257" s="29"/>
      <c r="AE257" s="29"/>
      <c r="AF257" s="29"/>
      <c r="AG257" s="29"/>
      <c r="AH257" s="14" t="str">
        <f>VLOOKUP(B257,[1]Sheet1!$A$2:$F$294,6,FALSE)</f>
        <v>无</v>
      </c>
      <c r="AI257" s="14">
        <f>VLOOKUP(B257,[1]Sheet1!$A$2:$F$294,4,FALSE)</f>
        <v>0</v>
      </c>
      <c r="AJ257" s="14" t="str">
        <f>VLOOKUP(B257,[1]Sheet1!$A$2:$F$294,5,FALSE)</f>
        <v>无</v>
      </c>
    </row>
    <row r="258" s="4" customFormat="1" ht="14.25" spans="1:36">
      <c r="A258" s="11">
        <v>257</v>
      </c>
      <c r="B258" s="26">
        <v>22403420116</v>
      </c>
      <c r="C258" s="22" t="s">
        <v>1216</v>
      </c>
      <c r="D258" s="14" t="s">
        <v>251</v>
      </c>
      <c r="E258" s="27" t="s">
        <v>1217</v>
      </c>
      <c r="F258" s="28">
        <v>13970486527</v>
      </c>
      <c r="G258" s="29">
        <v>13879483398</v>
      </c>
      <c r="H258" s="29">
        <v>13970489102</v>
      </c>
      <c r="I258" s="28" t="s">
        <v>36</v>
      </c>
      <c r="J258" s="29"/>
      <c r="K258" s="16" t="s">
        <v>1218</v>
      </c>
      <c r="L258" s="28" t="s">
        <v>38</v>
      </c>
      <c r="M258" s="28" t="s">
        <v>60</v>
      </c>
      <c r="N258" s="28">
        <v>524</v>
      </c>
      <c r="O258" s="29">
        <v>2022</v>
      </c>
      <c r="P258" s="29" t="s">
        <v>41</v>
      </c>
      <c r="Q258" s="29" t="s">
        <v>174</v>
      </c>
      <c r="R258" s="29" t="s">
        <v>43</v>
      </c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14" t="str">
        <f>VLOOKUP(B258,[1]Sheet1!$A$2:$F$294,6,FALSE)</f>
        <v>一般困难</v>
      </c>
      <c r="AI258" s="14">
        <f>VLOOKUP(B258,[1]Sheet1!$A$2:$F$294,4,FALSE)</f>
        <v>0</v>
      </c>
      <c r="AJ258" s="14" t="str">
        <f>VLOOKUP(B258,[1]Sheet1!$A$2:$F$294,5,FALSE)</f>
        <v>无</v>
      </c>
    </row>
    <row r="259" s="4" customFormat="1" ht="14.25" spans="1:36">
      <c r="A259" s="11">
        <v>258</v>
      </c>
      <c r="B259" s="26">
        <v>22403420104</v>
      </c>
      <c r="C259" s="22" t="s">
        <v>1219</v>
      </c>
      <c r="D259" s="14" t="s">
        <v>251</v>
      </c>
      <c r="E259" s="27" t="s">
        <v>1220</v>
      </c>
      <c r="F259" s="28">
        <v>17362890336</v>
      </c>
      <c r="G259" s="29">
        <v>13114634106</v>
      </c>
      <c r="H259" s="29">
        <v>19971626168</v>
      </c>
      <c r="I259" s="28" t="s">
        <v>36</v>
      </c>
      <c r="J259" s="29"/>
      <c r="K259" s="16" t="s">
        <v>1221</v>
      </c>
      <c r="L259" s="28" t="s">
        <v>38</v>
      </c>
      <c r="M259" s="28" t="s">
        <v>60</v>
      </c>
      <c r="N259" s="28">
        <v>521</v>
      </c>
      <c r="O259" s="29">
        <v>2022</v>
      </c>
      <c r="P259" s="29" t="s">
        <v>41</v>
      </c>
      <c r="Q259" s="29" t="s">
        <v>1222</v>
      </c>
      <c r="R259" s="29" t="s">
        <v>63</v>
      </c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14" t="str">
        <f>VLOOKUP(B259,[1]Sheet1!$A$2:$F$294,6,FALSE)</f>
        <v>无</v>
      </c>
      <c r="AI259" s="14">
        <f>VLOOKUP(B259,[1]Sheet1!$A$2:$F$294,4,FALSE)</f>
        <v>0</v>
      </c>
      <c r="AJ259" s="14" t="str">
        <f>VLOOKUP(B259,[1]Sheet1!$A$2:$F$294,5,FALSE)</f>
        <v>无</v>
      </c>
    </row>
    <row r="260" s="4" customFormat="1" ht="14.25" spans="1:36">
      <c r="A260" s="11">
        <v>259</v>
      </c>
      <c r="B260" s="26">
        <v>22403000314</v>
      </c>
      <c r="C260" s="22" t="s">
        <v>1223</v>
      </c>
      <c r="D260" s="14" t="s">
        <v>251</v>
      </c>
      <c r="E260" s="27" t="s">
        <v>1224</v>
      </c>
      <c r="F260" s="28">
        <v>18673312669</v>
      </c>
      <c r="G260" s="29">
        <v>13951579109</v>
      </c>
      <c r="H260" s="29">
        <v>13080104526</v>
      </c>
      <c r="I260" s="28" t="s">
        <v>58</v>
      </c>
      <c r="J260" s="29"/>
      <c r="K260" s="16" t="s">
        <v>1225</v>
      </c>
      <c r="L260" s="28" t="s">
        <v>59</v>
      </c>
      <c r="M260" s="28" t="s">
        <v>1132</v>
      </c>
      <c r="N260" s="28">
        <v>118</v>
      </c>
      <c r="O260" s="29">
        <v>2022</v>
      </c>
      <c r="P260" s="29" t="s">
        <v>41</v>
      </c>
      <c r="Q260" s="29" t="s">
        <v>1226</v>
      </c>
      <c r="R260" s="29" t="s">
        <v>1227</v>
      </c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14" t="str">
        <f>VLOOKUP(B260,[1]Sheet1!$A$2:$F$294,6,FALSE)</f>
        <v>无</v>
      </c>
      <c r="AI260" s="14">
        <f>VLOOKUP(B260,[1]Sheet1!$A$2:$F$294,4,FALSE)</f>
        <v>1</v>
      </c>
      <c r="AJ260" s="14" t="str">
        <f>VLOOKUP(B260,[1]Sheet1!$A$2:$F$294,5,FALSE)</f>
        <v>软件工程</v>
      </c>
    </row>
    <row r="261" s="4" customFormat="1" ht="14.25" spans="1:36">
      <c r="A261" s="11">
        <v>260</v>
      </c>
      <c r="B261" s="26">
        <v>22404200714</v>
      </c>
      <c r="C261" s="22" t="s">
        <v>1228</v>
      </c>
      <c r="D261" s="14" t="s">
        <v>251</v>
      </c>
      <c r="E261" s="27" t="s">
        <v>1229</v>
      </c>
      <c r="F261" s="28">
        <v>13651416264</v>
      </c>
      <c r="G261" s="29">
        <v>13544244672</v>
      </c>
      <c r="H261" s="29">
        <v>18373578009</v>
      </c>
      <c r="I261" s="28" t="s">
        <v>58</v>
      </c>
      <c r="J261" s="29"/>
      <c r="K261" s="16" t="s">
        <v>1230</v>
      </c>
      <c r="L261" s="28" t="s">
        <v>38</v>
      </c>
      <c r="M261" s="28" t="s">
        <v>152</v>
      </c>
      <c r="N261" s="28">
        <v>434</v>
      </c>
      <c r="O261" s="29">
        <v>2022</v>
      </c>
      <c r="P261" s="29" t="s">
        <v>41</v>
      </c>
      <c r="Q261" s="29" t="s">
        <v>42</v>
      </c>
      <c r="R261" s="29" t="s">
        <v>43</v>
      </c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14" t="str">
        <f>VLOOKUP(B261,[1]Sheet1!$A$2:$F$294,6,FALSE)</f>
        <v>特别困难</v>
      </c>
      <c r="AI261" s="14">
        <f>VLOOKUP(B261,[1]Sheet1!$A$2:$F$294,4,FALSE)</f>
        <v>0</v>
      </c>
      <c r="AJ261" s="14" t="str">
        <f>VLOOKUP(B261,[1]Sheet1!$A$2:$F$294,5,FALSE)</f>
        <v>无</v>
      </c>
    </row>
    <row r="262" s="4" customFormat="1" ht="14.25" spans="1:36">
      <c r="A262" s="11">
        <v>261</v>
      </c>
      <c r="B262" s="26">
        <v>22405700811</v>
      </c>
      <c r="C262" s="22" t="s">
        <v>1231</v>
      </c>
      <c r="D262" s="14" t="s">
        <v>251</v>
      </c>
      <c r="E262" s="27" t="s">
        <v>1232</v>
      </c>
      <c r="F262" s="28">
        <v>18975311325</v>
      </c>
      <c r="G262" s="29">
        <v>13874139536</v>
      </c>
      <c r="H262" s="29">
        <v>18975310163</v>
      </c>
      <c r="I262" s="28" t="s">
        <v>58</v>
      </c>
      <c r="J262" s="29"/>
      <c r="K262" s="16" t="s">
        <v>1233</v>
      </c>
      <c r="L262" s="28" t="s">
        <v>38</v>
      </c>
      <c r="M262" s="28" t="s">
        <v>206</v>
      </c>
      <c r="N262" s="28">
        <v>535</v>
      </c>
      <c r="O262" s="29">
        <v>2202</v>
      </c>
      <c r="P262" s="29" t="s">
        <v>41</v>
      </c>
      <c r="Q262" s="29" t="s">
        <v>1234</v>
      </c>
      <c r="R262" s="29" t="s">
        <v>1227</v>
      </c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14" t="str">
        <f>VLOOKUP(B262,[1]Sheet1!$A$2:$F$294,6,FALSE)</f>
        <v>无</v>
      </c>
      <c r="AI262" s="14">
        <f>VLOOKUP(B262,[1]Sheet1!$A$2:$F$294,4,FALSE)</f>
        <v>0</v>
      </c>
      <c r="AJ262" s="14" t="str">
        <f>VLOOKUP(B262,[1]Sheet1!$A$2:$F$294,5,FALSE)</f>
        <v>无</v>
      </c>
    </row>
    <row r="263" s="4" customFormat="1" ht="14.25" spans="1:36">
      <c r="A263" s="11">
        <v>262</v>
      </c>
      <c r="B263" s="26">
        <v>22405700441</v>
      </c>
      <c r="C263" s="22" t="s">
        <v>1235</v>
      </c>
      <c r="D263" s="14" t="s">
        <v>251</v>
      </c>
      <c r="E263" s="29" t="s">
        <v>1236</v>
      </c>
      <c r="F263" s="28">
        <v>13107463449</v>
      </c>
      <c r="G263" s="29">
        <v>15574642436</v>
      </c>
      <c r="H263" s="29">
        <v>13107469713</v>
      </c>
      <c r="I263" s="28" t="s">
        <v>58</v>
      </c>
      <c r="J263" s="29"/>
      <c r="K263" s="16" t="s">
        <v>1237</v>
      </c>
      <c r="L263" s="28" t="s">
        <v>38</v>
      </c>
      <c r="M263" s="28" t="s">
        <v>1214</v>
      </c>
      <c r="N263" s="28">
        <v>613</v>
      </c>
      <c r="O263" s="29">
        <v>2022</v>
      </c>
      <c r="P263" s="29" t="s">
        <v>41</v>
      </c>
      <c r="Q263" s="29" t="s">
        <v>115</v>
      </c>
      <c r="R263" s="29" t="s">
        <v>1227</v>
      </c>
      <c r="S263" s="29" t="s">
        <v>115</v>
      </c>
      <c r="T263" s="29"/>
      <c r="U263" s="24" t="s">
        <v>45</v>
      </c>
      <c r="V263" s="15" t="s">
        <v>58</v>
      </c>
      <c r="W263" s="15" t="s">
        <v>41</v>
      </c>
      <c r="X263" s="24" t="s">
        <v>1121</v>
      </c>
      <c r="Y263" s="29"/>
      <c r="Z263" s="29"/>
      <c r="AA263" s="29"/>
      <c r="AB263" s="24" t="s">
        <v>1125</v>
      </c>
      <c r="AC263" s="15" t="s">
        <v>52</v>
      </c>
      <c r="AD263" s="24" t="s">
        <v>1127</v>
      </c>
      <c r="AE263" s="24" t="s">
        <v>1128</v>
      </c>
      <c r="AF263" s="24" t="s">
        <v>1128</v>
      </c>
      <c r="AG263" s="29" t="s">
        <v>244</v>
      </c>
      <c r="AH263" s="14" t="str">
        <f>VLOOKUP(B263,[1]Sheet1!$A$2:$F$294,6,FALSE)</f>
        <v>无</v>
      </c>
      <c r="AI263" s="14">
        <f>VLOOKUP(B263,[1]Sheet1!$A$2:$F$294,4,FALSE)</f>
        <v>1</v>
      </c>
      <c r="AJ263" s="14" t="str">
        <f>VLOOKUP(B263,[1]Sheet1!$A$2:$F$294,5,FALSE)</f>
        <v>算法设计与分析</v>
      </c>
    </row>
    <row r="264" s="4" customFormat="1" ht="14.25" spans="1:36">
      <c r="A264" s="11">
        <v>263</v>
      </c>
      <c r="B264" s="26">
        <v>22418200322</v>
      </c>
      <c r="C264" s="22" t="s">
        <v>1238</v>
      </c>
      <c r="D264" s="14" t="s">
        <v>251</v>
      </c>
      <c r="E264" s="27" t="s">
        <v>1239</v>
      </c>
      <c r="F264" s="28">
        <v>15973182088</v>
      </c>
      <c r="G264" s="29">
        <v>15173132455</v>
      </c>
      <c r="H264" s="29">
        <v>13875871939</v>
      </c>
      <c r="I264" s="28" t="s">
        <v>58</v>
      </c>
      <c r="J264" s="29"/>
      <c r="K264" s="16" t="s">
        <v>1240</v>
      </c>
      <c r="L264" s="28" t="s">
        <v>38</v>
      </c>
      <c r="M264" s="28" t="s">
        <v>206</v>
      </c>
      <c r="N264" s="28">
        <v>529</v>
      </c>
      <c r="O264" s="29">
        <v>2022</v>
      </c>
      <c r="P264" s="29" t="s">
        <v>41</v>
      </c>
      <c r="Q264" s="29" t="s">
        <v>358</v>
      </c>
      <c r="R264" s="29" t="s">
        <v>43</v>
      </c>
      <c r="S264" s="29" t="s">
        <v>358</v>
      </c>
      <c r="T264" s="29"/>
      <c r="U264" s="24" t="s">
        <v>45</v>
      </c>
      <c r="V264" s="15" t="s">
        <v>58</v>
      </c>
      <c r="W264" s="15" t="s">
        <v>41</v>
      </c>
      <c r="X264" s="24" t="s">
        <v>1121</v>
      </c>
      <c r="Y264" s="29"/>
      <c r="Z264" s="29"/>
      <c r="AA264" s="29"/>
      <c r="AB264" s="24" t="s">
        <v>1125</v>
      </c>
      <c r="AC264" s="15" t="s">
        <v>52</v>
      </c>
      <c r="AD264" s="24" t="s">
        <v>1127</v>
      </c>
      <c r="AE264" s="24" t="s">
        <v>1128</v>
      </c>
      <c r="AF264" s="24" t="s">
        <v>1128</v>
      </c>
      <c r="AG264" s="29" t="s">
        <v>1080</v>
      </c>
      <c r="AH264" s="14" t="str">
        <f>VLOOKUP(B264,[1]Sheet1!$A$2:$F$294,6,FALSE)</f>
        <v>无</v>
      </c>
      <c r="AI264" s="14">
        <f>VLOOKUP(B264,[1]Sheet1!$A$2:$F$294,4,FALSE)</f>
        <v>3</v>
      </c>
      <c r="AJ264" s="14" t="str">
        <f>VLOOKUP(B264,[1]Sheet1!$A$2:$F$294,5,FALSE)</f>
        <v>汇编语言程序设计,软件工程,面向对象程序设计</v>
      </c>
    </row>
    <row r="265" s="4" customFormat="1" ht="14.25" spans="1:36">
      <c r="A265" s="11">
        <v>264</v>
      </c>
      <c r="B265" s="26">
        <v>22496100215</v>
      </c>
      <c r="C265" s="22" t="s">
        <v>1241</v>
      </c>
      <c r="D265" s="14" t="s">
        <v>251</v>
      </c>
      <c r="E265" s="43" t="s">
        <v>1242</v>
      </c>
      <c r="F265" s="28">
        <v>19898871011</v>
      </c>
      <c r="G265" s="29"/>
      <c r="H265" s="29">
        <v>1511182696</v>
      </c>
      <c r="I265" s="28" t="s">
        <v>58</v>
      </c>
      <c r="J265" s="29"/>
      <c r="K265" s="16" t="s">
        <v>1243</v>
      </c>
      <c r="L265" s="28" t="s">
        <v>1244</v>
      </c>
      <c r="M265" s="28" t="s">
        <v>1245</v>
      </c>
      <c r="N265" s="28"/>
      <c r="O265" s="29"/>
      <c r="P265" s="29" t="s">
        <v>41</v>
      </c>
      <c r="Q265" s="29" t="s">
        <v>110</v>
      </c>
      <c r="R265" s="29"/>
      <c r="S265" s="29" t="s">
        <v>110</v>
      </c>
      <c r="T265" s="29"/>
      <c r="U265" s="24" t="s">
        <v>45</v>
      </c>
      <c r="V265" s="15" t="s">
        <v>58</v>
      </c>
      <c r="W265" s="15" t="s">
        <v>41</v>
      </c>
      <c r="X265" s="24" t="s">
        <v>1121</v>
      </c>
      <c r="Y265" s="29"/>
      <c r="Z265" s="24" t="s">
        <v>1123</v>
      </c>
      <c r="AA265" s="29" t="s">
        <v>1246</v>
      </c>
      <c r="AB265" s="24" t="s">
        <v>1188</v>
      </c>
      <c r="AC265" s="29" t="s">
        <v>1246</v>
      </c>
      <c r="AD265" s="24" t="s">
        <v>1127</v>
      </c>
      <c r="AE265" s="24" t="s">
        <v>1128</v>
      </c>
      <c r="AF265" s="15" t="s">
        <v>55</v>
      </c>
      <c r="AG265" s="29" t="s">
        <v>249</v>
      </c>
      <c r="AH265" s="14" t="str">
        <f>VLOOKUP(B265,[1]Sheet1!$A$2:$F$294,6,FALSE)</f>
        <v>无</v>
      </c>
      <c r="AI265" s="14">
        <f>VLOOKUP(B265,[1]Sheet1!$A$2:$F$294,4,FALSE)</f>
        <v>1</v>
      </c>
      <c r="AJ265" s="14" t="str">
        <f>VLOOKUP(B265,[1]Sheet1!$A$2:$F$294,5,FALSE)</f>
        <v>计算机基础A</v>
      </c>
    </row>
    <row r="266" s="2" customFormat="1" ht="14.25" spans="1:36">
      <c r="A266" s="11">
        <v>265</v>
      </c>
      <c r="B266" s="21">
        <v>22404200635</v>
      </c>
      <c r="C266" s="22" t="s">
        <v>1247</v>
      </c>
      <c r="D266" s="30" t="s">
        <v>423</v>
      </c>
      <c r="E266" s="23" t="s">
        <v>1248</v>
      </c>
      <c r="F266" s="14">
        <v>15153022690</v>
      </c>
      <c r="G266" s="24">
        <v>15265305041</v>
      </c>
      <c r="H266" s="24">
        <v>15265305041</v>
      </c>
      <c r="I266" s="14" t="s">
        <v>58</v>
      </c>
      <c r="J266" s="24"/>
      <c r="K266" s="25" t="s">
        <v>1249</v>
      </c>
      <c r="L266" s="14" t="s">
        <v>38</v>
      </c>
      <c r="M266" s="14" t="s">
        <v>152</v>
      </c>
      <c r="N266" s="14" t="s">
        <v>1117</v>
      </c>
      <c r="O266" s="24">
        <v>2022</v>
      </c>
      <c r="P266" s="24" t="s">
        <v>1118</v>
      </c>
      <c r="Q266" s="24" t="s">
        <v>1250</v>
      </c>
      <c r="R266" s="24" t="s">
        <v>1251</v>
      </c>
      <c r="S266" s="24" t="s">
        <v>1252</v>
      </c>
      <c r="T266" s="24">
        <v>274700</v>
      </c>
      <c r="U266" s="24" t="s">
        <v>1253</v>
      </c>
      <c r="V266" s="15" t="s">
        <v>58</v>
      </c>
      <c r="W266" s="15" t="s">
        <v>41</v>
      </c>
      <c r="X266" s="24" t="s">
        <v>1121</v>
      </c>
      <c r="Y266" s="24" t="s">
        <v>1254</v>
      </c>
      <c r="Z266" s="24" t="s">
        <v>1255</v>
      </c>
      <c r="AA266" s="24" t="s">
        <v>1124</v>
      </c>
      <c r="AB266" s="24" t="s">
        <v>1125</v>
      </c>
      <c r="AC266" s="24" t="s">
        <v>1126</v>
      </c>
      <c r="AD266" s="24" t="s">
        <v>1127</v>
      </c>
      <c r="AE266" s="24" t="s">
        <v>1128</v>
      </c>
      <c r="AF266" s="24" t="s">
        <v>1128</v>
      </c>
      <c r="AG266" s="15"/>
      <c r="AH266" s="14" t="str">
        <f>VLOOKUP(B266,[1]Sheet1!$A$2:$F$294,6,FALSE)</f>
        <v>无</v>
      </c>
      <c r="AI266" s="14">
        <f>VLOOKUP(B266,[1]Sheet1!$A$2:$F$294,4,FALSE)</f>
        <v>0</v>
      </c>
      <c r="AJ266" s="14" t="str">
        <f>VLOOKUP(B266,[1]Sheet1!$A$2:$F$294,5,FALSE)</f>
        <v>无</v>
      </c>
    </row>
    <row r="267" s="2" customFormat="1" ht="14.25" spans="1:36">
      <c r="A267" s="11">
        <v>266</v>
      </c>
      <c r="B267" s="21">
        <v>22403420118</v>
      </c>
      <c r="C267" s="22" t="s">
        <v>1256</v>
      </c>
      <c r="D267" s="30" t="s">
        <v>423</v>
      </c>
      <c r="E267" s="23" t="s">
        <v>1257</v>
      </c>
      <c r="F267" s="14">
        <v>15237561915</v>
      </c>
      <c r="G267" s="24">
        <v>13781801279</v>
      </c>
      <c r="H267" s="24">
        <v>13781801279</v>
      </c>
      <c r="I267" s="14" t="s">
        <v>58</v>
      </c>
      <c r="J267" s="24"/>
      <c r="K267" s="25" t="s">
        <v>1258</v>
      </c>
      <c r="L267" s="14" t="s">
        <v>59</v>
      </c>
      <c r="M267" s="14" t="s">
        <v>206</v>
      </c>
      <c r="N267" s="14" t="s">
        <v>1259</v>
      </c>
      <c r="O267" s="24">
        <v>2022</v>
      </c>
      <c r="P267" s="24" t="s">
        <v>1118</v>
      </c>
      <c r="Q267" s="24" t="s">
        <v>1260</v>
      </c>
      <c r="R267" s="24" t="s">
        <v>1251</v>
      </c>
      <c r="S267" s="24" t="s">
        <v>1261</v>
      </c>
      <c r="T267" s="24">
        <v>467346</v>
      </c>
      <c r="U267" s="24" t="s">
        <v>1262</v>
      </c>
      <c r="V267" s="24" t="s">
        <v>1136</v>
      </c>
      <c r="W267" s="24" t="s">
        <v>1118</v>
      </c>
      <c r="X267" s="24" t="s">
        <v>1138</v>
      </c>
      <c r="Y267" s="24" t="s">
        <v>1263</v>
      </c>
      <c r="Z267" s="24" t="s">
        <v>1264</v>
      </c>
      <c r="AA267" s="24" t="s">
        <v>1124</v>
      </c>
      <c r="AB267" s="24" t="s">
        <v>1125</v>
      </c>
      <c r="AC267" s="24" t="s">
        <v>1126</v>
      </c>
      <c r="AD267" s="24" t="s">
        <v>1127</v>
      </c>
      <c r="AE267" s="24" t="s">
        <v>1128</v>
      </c>
      <c r="AF267" s="24" t="s">
        <v>1128</v>
      </c>
      <c r="AG267" s="15"/>
      <c r="AH267" s="14" t="str">
        <f>VLOOKUP(B267,[1]Sheet1!$A$2:$F$294,6,FALSE)</f>
        <v>特别困难</v>
      </c>
      <c r="AI267" s="14">
        <f>VLOOKUP(B267,[1]Sheet1!$A$2:$F$294,4,FALSE)</f>
        <v>2</v>
      </c>
      <c r="AJ267" s="14" t="str">
        <f>VLOOKUP(B267,[1]Sheet1!$A$2:$F$294,5,FALSE)</f>
        <v>汇编语言程序设计,面向对象程序设计</v>
      </c>
    </row>
    <row r="268" s="2" customFormat="1" ht="14.25" spans="1:36">
      <c r="A268" s="11">
        <v>267</v>
      </c>
      <c r="B268" s="21">
        <v>22418500130</v>
      </c>
      <c r="C268" s="22" t="s">
        <v>1265</v>
      </c>
      <c r="D268" s="30" t="s">
        <v>423</v>
      </c>
      <c r="E268" s="23" t="s">
        <v>1266</v>
      </c>
      <c r="F268" s="14">
        <v>13352821601</v>
      </c>
      <c r="G268" s="24">
        <v>13310883461</v>
      </c>
      <c r="H268" s="24">
        <v>15360687032</v>
      </c>
      <c r="I268" s="14" t="s">
        <v>58</v>
      </c>
      <c r="J268" s="24"/>
      <c r="K268" s="25" t="s">
        <v>1267</v>
      </c>
      <c r="L268" s="14" t="s">
        <v>38</v>
      </c>
      <c r="M268" s="14" t="s">
        <v>206</v>
      </c>
      <c r="N268" s="14" t="s">
        <v>1268</v>
      </c>
      <c r="O268" s="24">
        <v>2203</v>
      </c>
      <c r="P268" s="24" t="s">
        <v>1118</v>
      </c>
      <c r="Q268" s="24" t="s">
        <v>1269</v>
      </c>
      <c r="R268" s="24" t="s">
        <v>1251</v>
      </c>
      <c r="S268" s="24" t="s">
        <v>1270</v>
      </c>
      <c r="T268" s="24">
        <v>510450</v>
      </c>
      <c r="U268" s="24" t="s">
        <v>1271</v>
      </c>
      <c r="V268" s="24" t="s">
        <v>1136</v>
      </c>
      <c r="W268" s="24" t="s">
        <v>1118</v>
      </c>
      <c r="X268" s="24" t="s">
        <v>1121</v>
      </c>
      <c r="Y268" s="24" t="s">
        <v>1272</v>
      </c>
      <c r="Z268" s="24" t="s">
        <v>1264</v>
      </c>
      <c r="AA268" s="24" t="s">
        <v>1273</v>
      </c>
      <c r="AB268" s="24" t="s">
        <v>1125</v>
      </c>
      <c r="AC268" s="24" t="s">
        <v>1126</v>
      </c>
      <c r="AD268" s="24" t="s">
        <v>1127</v>
      </c>
      <c r="AE268" s="24" t="s">
        <v>1128</v>
      </c>
      <c r="AF268" s="24" t="s">
        <v>1128</v>
      </c>
      <c r="AG268" s="15" t="s">
        <v>249</v>
      </c>
      <c r="AH268" s="14" t="str">
        <f>VLOOKUP(B268,[1]Sheet1!$A$2:$F$294,6,FALSE)</f>
        <v>无</v>
      </c>
      <c r="AI268" s="14">
        <f>VLOOKUP(B268,[1]Sheet1!$A$2:$F$294,4,FALSE)</f>
        <v>5</v>
      </c>
      <c r="AJ268" s="14" t="str">
        <f>VLOOKUP(B268,[1]Sheet1!$A$2:$F$294,5,FALSE)</f>
        <v>JAVA程序设计,汇编语言程序设计,算法设计与分析,软件工程,面向对象程序设计</v>
      </c>
    </row>
    <row r="269" s="2" customFormat="1" ht="14.25" spans="1:36">
      <c r="A269" s="11">
        <v>268</v>
      </c>
      <c r="B269" s="21">
        <v>22404200529</v>
      </c>
      <c r="C269" s="22" t="s">
        <v>1274</v>
      </c>
      <c r="D269" s="30" t="s">
        <v>423</v>
      </c>
      <c r="E269" s="23" t="s">
        <v>1275</v>
      </c>
      <c r="F269" s="14">
        <v>13017520185</v>
      </c>
      <c r="G269" s="24">
        <v>13140413772</v>
      </c>
      <c r="H269" s="24">
        <v>15226109286</v>
      </c>
      <c r="I269" s="14" t="s">
        <v>58</v>
      </c>
      <c r="J269" s="24"/>
      <c r="K269" s="25" t="s">
        <v>1276</v>
      </c>
      <c r="L269" s="14" t="s">
        <v>38</v>
      </c>
      <c r="M269" s="14" t="s">
        <v>152</v>
      </c>
      <c r="N269" s="14" t="s">
        <v>1277</v>
      </c>
      <c r="O269" s="24">
        <v>2022</v>
      </c>
      <c r="P269" s="24" t="s">
        <v>1118</v>
      </c>
      <c r="Q269" s="24" t="s">
        <v>1278</v>
      </c>
      <c r="R269" s="24" t="s">
        <v>1120</v>
      </c>
      <c r="S269" s="24" t="s">
        <v>1279</v>
      </c>
      <c r="T269" s="24">
        <v>456476</v>
      </c>
      <c r="U269" s="24" t="s">
        <v>1280</v>
      </c>
      <c r="V269" s="24" t="s">
        <v>1136</v>
      </c>
      <c r="W269" s="24" t="s">
        <v>1118</v>
      </c>
      <c r="X269" s="24" t="s">
        <v>1121</v>
      </c>
      <c r="Y269" s="24" t="s">
        <v>1272</v>
      </c>
      <c r="Z269" s="24" t="s">
        <v>1264</v>
      </c>
      <c r="AA269" s="24" t="s">
        <v>1124</v>
      </c>
      <c r="AB269" s="24" t="s">
        <v>1125</v>
      </c>
      <c r="AC269" s="24" t="s">
        <v>1126</v>
      </c>
      <c r="AD269" s="24" t="s">
        <v>1127</v>
      </c>
      <c r="AE269" s="24" t="s">
        <v>1128</v>
      </c>
      <c r="AF269" s="24" t="s">
        <v>1128</v>
      </c>
      <c r="AG269" s="15" t="s">
        <v>709</v>
      </c>
      <c r="AH269" s="14" t="str">
        <f>VLOOKUP(B269,[1]Sheet1!$A$2:$F$294,6,FALSE)</f>
        <v>无</v>
      </c>
      <c r="AI269" s="14">
        <f>VLOOKUP(B269,[1]Sheet1!$A$2:$F$294,4,FALSE)</f>
        <v>4</v>
      </c>
      <c r="AJ269" s="14" t="str">
        <f>VLOOKUP(B269,[1]Sheet1!$A$2:$F$294,5,FALSE)</f>
        <v>汇编语言程序设计,算法设计与分析,软件工程,面向对象程序设计</v>
      </c>
    </row>
    <row r="270" s="2" customFormat="1" ht="14.25" spans="1:36">
      <c r="A270" s="11">
        <v>269</v>
      </c>
      <c r="B270" s="21">
        <v>22418500209</v>
      </c>
      <c r="C270" s="22" t="s">
        <v>1281</v>
      </c>
      <c r="D270" s="30" t="s">
        <v>423</v>
      </c>
      <c r="E270" s="23" t="s">
        <v>1282</v>
      </c>
      <c r="F270" s="14">
        <v>18074596928</v>
      </c>
      <c r="G270" s="24">
        <v>17769231899</v>
      </c>
      <c r="H270" s="24">
        <v>17769231899</v>
      </c>
      <c r="I270" s="14" t="s">
        <v>58</v>
      </c>
      <c r="J270" s="24"/>
      <c r="K270" s="25" t="s">
        <v>1283</v>
      </c>
      <c r="L270" s="14" t="s">
        <v>38</v>
      </c>
      <c r="M270" s="14" t="s">
        <v>1183</v>
      </c>
      <c r="N270" s="14" t="s">
        <v>1284</v>
      </c>
      <c r="O270" s="24">
        <v>2022</v>
      </c>
      <c r="P270" s="24" t="s">
        <v>1118</v>
      </c>
      <c r="Q270" s="24" t="s">
        <v>1119</v>
      </c>
      <c r="R270" s="24" t="s">
        <v>1120</v>
      </c>
      <c r="S270" s="24" t="s">
        <v>1285</v>
      </c>
      <c r="T270" s="24">
        <v>419600</v>
      </c>
      <c r="U270" s="24" t="s">
        <v>1286</v>
      </c>
      <c r="V270" s="24" t="s">
        <v>1136</v>
      </c>
      <c r="W270" s="24" t="s">
        <v>1118</v>
      </c>
      <c r="X270" s="24" t="s">
        <v>1121</v>
      </c>
      <c r="Y270" s="24" t="s">
        <v>1272</v>
      </c>
      <c r="Z270" s="24" t="s">
        <v>1264</v>
      </c>
      <c r="AA270" s="24" t="s">
        <v>1273</v>
      </c>
      <c r="AB270" s="24" t="s">
        <v>1125</v>
      </c>
      <c r="AC270" s="24" t="s">
        <v>1126</v>
      </c>
      <c r="AD270" s="24" t="s">
        <v>1127</v>
      </c>
      <c r="AE270" s="24" t="s">
        <v>1128</v>
      </c>
      <c r="AF270" s="24" t="s">
        <v>1128</v>
      </c>
      <c r="AG270" s="15" t="s">
        <v>305</v>
      </c>
      <c r="AH270" s="14" t="str">
        <f>VLOOKUP(B270,[1]Sheet1!$A$2:$F$294,6,FALSE)</f>
        <v>无</v>
      </c>
      <c r="AI270" s="14">
        <f>VLOOKUP(B270,[1]Sheet1!$A$2:$F$294,4,FALSE)</f>
        <v>0</v>
      </c>
      <c r="AJ270" s="14" t="str">
        <f>VLOOKUP(B270,[1]Sheet1!$A$2:$F$294,5,FALSE)</f>
        <v>无</v>
      </c>
    </row>
    <row r="271" s="2" customFormat="1" ht="14.25" spans="1:36">
      <c r="A271" s="11">
        <v>270</v>
      </c>
      <c r="B271" s="26">
        <v>20450150217</v>
      </c>
      <c r="C271" s="22" t="s">
        <v>1287</v>
      </c>
      <c r="D271" s="14" t="s">
        <v>607</v>
      </c>
      <c r="E271" s="41" t="s">
        <v>1288</v>
      </c>
      <c r="F271" s="14">
        <v>18593312716</v>
      </c>
      <c r="G271" s="15">
        <v>15581507616</v>
      </c>
      <c r="H271" s="15">
        <v>17673996227</v>
      </c>
      <c r="I271" s="14" t="s">
        <v>58</v>
      </c>
      <c r="J271" s="15"/>
      <c r="K271" s="31" t="s">
        <v>1289</v>
      </c>
      <c r="L271" s="14" t="s">
        <v>59</v>
      </c>
      <c r="M271" s="14" t="s">
        <v>206</v>
      </c>
      <c r="N271" s="14" t="s">
        <v>1290</v>
      </c>
      <c r="O271" s="15">
        <v>2020</v>
      </c>
      <c r="P271" s="32" t="s">
        <v>487</v>
      </c>
      <c r="Q271" s="32" t="s">
        <v>194</v>
      </c>
      <c r="R271" s="32" t="s">
        <v>1227</v>
      </c>
      <c r="S271" s="15" t="s">
        <v>1291</v>
      </c>
      <c r="T271" s="15">
        <v>422500</v>
      </c>
      <c r="U271" s="32" t="s">
        <v>577</v>
      </c>
      <c r="V271" s="32" t="s">
        <v>58</v>
      </c>
      <c r="W271" s="32" t="s">
        <v>487</v>
      </c>
      <c r="X271" s="32" t="s">
        <v>74</v>
      </c>
      <c r="Y271" s="32" t="s">
        <v>47</v>
      </c>
      <c r="Z271" s="32" t="s">
        <v>75</v>
      </c>
      <c r="AA271" s="32" t="s">
        <v>50</v>
      </c>
      <c r="AB271" s="32" t="s">
        <v>67</v>
      </c>
      <c r="AC271" s="32" t="s">
        <v>52</v>
      </c>
      <c r="AD271" s="15" t="s">
        <v>674</v>
      </c>
      <c r="AE271" s="32" t="s">
        <v>239</v>
      </c>
      <c r="AF271" s="32" t="s">
        <v>239</v>
      </c>
      <c r="AG271" s="15" t="s">
        <v>674</v>
      </c>
      <c r="AH271" s="14" t="str">
        <f>VLOOKUP(B271,[1]Sheet1!$A$2:$F$294,6,FALSE)</f>
        <v>无</v>
      </c>
      <c r="AI271" s="14">
        <f>VLOOKUP(B271,[1]Sheet1!$A$2:$F$294,4,FALSE)</f>
        <v>0</v>
      </c>
      <c r="AJ271" s="14" t="str">
        <f>VLOOKUP(B271,[1]Sheet1!$A$2:$F$294,5,FALSE)</f>
        <v>无</v>
      </c>
    </row>
    <row r="272" s="5" customFormat="1" ht="14.25" spans="1:36">
      <c r="A272" s="11">
        <v>271</v>
      </c>
      <c r="B272" s="12">
        <v>21408000120</v>
      </c>
      <c r="C272" s="13" t="s">
        <v>1292</v>
      </c>
      <c r="D272" s="33" t="s">
        <v>607</v>
      </c>
      <c r="E272" s="44" t="s">
        <v>1293</v>
      </c>
      <c r="F272" s="33">
        <v>18527855570</v>
      </c>
      <c r="G272" s="34">
        <v>13135136867</v>
      </c>
      <c r="H272" s="34">
        <v>13733553076</v>
      </c>
      <c r="I272" s="33" t="s">
        <v>58</v>
      </c>
      <c r="J272" s="34"/>
      <c r="K272" s="35" t="s">
        <v>1294</v>
      </c>
      <c r="L272" s="33" t="s">
        <v>59</v>
      </c>
      <c r="M272" s="33" t="s">
        <v>1132</v>
      </c>
      <c r="N272" s="33" t="s">
        <v>1295</v>
      </c>
      <c r="O272" s="34">
        <v>2021</v>
      </c>
      <c r="P272" s="34" t="s">
        <v>41</v>
      </c>
      <c r="Q272" s="34" t="s">
        <v>1296</v>
      </c>
      <c r="R272" s="34" t="s">
        <v>63</v>
      </c>
      <c r="S272" s="34" t="s">
        <v>1297</v>
      </c>
      <c r="T272" s="34">
        <v>412007</v>
      </c>
      <c r="U272" s="34" t="s">
        <v>1298</v>
      </c>
      <c r="V272" s="34" t="s">
        <v>58</v>
      </c>
      <c r="W272" s="34" t="s">
        <v>41</v>
      </c>
      <c r="X272" s="34" t="s">
        <v>74</v>
      </c>
      <c r="Y272" s="34" t="s">
        <v>47</v>
      </c>
      <c r="Z272" s="34" t="s">
        <v>75</v>
      </c>
      <c r="AA272" s="34" t="s">
        <v>1299</v>
      </c>
      <c r="AB272" s="34" t="s">
        <v>67</v>
      </c>
      <c r="AC272" s="34" t="s">
        <v>52</v>
      </c>
      <c r="AD272" s="34" t="s">
        <v>53</v>
      </c>
      <c r="AE272" s="34" t="s">
        <v>1300</v>
      </c>
      <c r="AF272" s="34" t="s">
        <v>239</v>
      </c>
      <c r="AG272" s="34" t="s">
        <v>1301</v>
      </c>
      <c r="AH272" s="14" t="str">
        <f>VLOOKUP(B272,[1]Sheet1!$A$2:$F$294,6,FALSE)</f>
        <v>无</v>
      </c>
      <c r="AI272" s="14">
        <f>VLOOKUP(B272,[1]Sheet1!$A$2:$F$294,4,FALSE)</f>
        <v>9</v>
      </c>
      <c r="AJ272" s="14" t="str">
        <f>VLOOKUP(B272,[1]Sheet1!$A$2:$F$294,5,FALSE)</f>
        <v>Linux网络应用综合实践,Web系统开发,Web系统开发课程设计,Web设计基础课程设计,云计算技术,网络协议分析,网络安全基础综合实践,计算机网络,路由与交换技术课程设计</v>
      </c>
    </row>
    <row r="273" s="2" customFormat="1" ht="14.25" spans="1:36">
      <c r="A273" s="11">
        <v>272</v>
      </c>
      <c r="B273" s="12">
        <v>22408000307</v>
      </c>
      <c r="C273" s="13" t="s">
        <v>1302</v>
      </c>
      <c r="D273" s="28" t="s">
        <v>607</v>
      </c>
      <c r="E273" s="15" t="s">
        <v>1303</v>
      </c>
      <c r="F273" s="14" t="s">
        <v>1304</v>
      </c>
      <c r="G273" s="15" t="s">
        <v>239</v>
      </c>
      <c r="H273" s="15" t="s">
        <v>239</v>
      </c>
      <c r="I273" s="14" t="s">
        <v>58</v>
      </c>
      <c r="J273" s="15"/>
      <c r="K273" s="16" t="s">
        <v>1305</v>
      </c>
      <c r="L273" s="14" t="s">
        <v>59</v>
      </c>
      <c r="M273" s="14" t="s">
        <v>60</v>
      </c>
      <c r="N273" s="14" t="s">
        <v>1306</v>
      </c>
      <c r="O273" s="15">
        <v>2022</v>
      </c>
      <c r="P273" s="15" t="s">
        <v>41</v>
      </c>
      <c r="Q273" s="15" t="s">
        <v>618</v>
      </c>
      <c r="R273" s="15" t="s">
        <v>43</v>
      </c>
      <c r="S273" s="15" t="s">
        <v>1307</v>
      </c>
      <c r="T273" s="15">
        <v>710043</v>
      </c>
      <c r="U273" s="15" t="s">
        <v>1308</v>
      </c>
      <c r="V273" s="15" t="s">
        <v>58</v>
      </c>
      <c r="W273" s="15" t="s">
        <v>41</v>
      </c>
      <c r="X273" s="15" t="s">
        <v>47</v>
      </c>
      <c r="Y273" s="15" t="s">
        <v>1309</v>
      </c>
      <c r="Z273" s="15" t="s">
        <v>49</v>
      </c>
      <c r="AA273" s="15" t="s">
        <v>1310</v>
      </c>
      <c r="AB273" s="15" t="s">
        <v>67</v>
      </c>
      <c r="AC273" s="15" t="s">
        <v>1311</v>
      </c>
      <c r="AD273" s="15" t="s">
        <v>53</v>
      </c>
      <c r="AE273" s="15" t="s">
        <v>239</v>
      </c>
      <c r="AF273" s="15" t="s">
        <v>239</v>
      </c>
      <c r="AG273" s="15" t="s">
        <v>249</v>
      </c>
      <c r="AH273" s="14" t="str">
        <f>VLOOKUP(B273,[1]Sheet1!$A$2:$F$294,6,FALSE)</f>
        <v>困难</v>
      </c>
      <c r="AI273" s="14">
        <f>VLOOKUP(B273,[1]Sheet1!$A$2:$F$294,4,FALSE)</f>
        <v>0</v>
      </c>
      <c r="AJ273" s="14" t="str">
        <f>VLOOKUP(B273,[1]Sheet1!$A$2:$F$294,5,FALSE)</f>
        <v>无</v>
      </c>
    </row>
    <row r="274" s="4" customFormat="1" ht="14.25" spans="1:36">
      <c r="A274" s="11">
        <v>273</v>
      </c>
      <c r="B274" s="26">
        <v>22414700124</v>
      </c>
      <c r="C274" s="22" t="s">
        <v>1312</v>
      </c>
      <c r="D274" s="14" t="s">
        <v>746</v>
      </c>
      <c r="E274" s="27" t="s">
        <v>1313</v>
      </c>
      <c r="F274" s="28">
        <v>15180979832</v>
      </c>
      <c r="G274" s="29">
        <v>13873940085</v>
      </c>
      <c r="H274" s="29">
        <v>13507396035</v>
      </c>
      <c r="I274" s="28" t="s">
        <v>36</v>
      </c>
      <c r="J274" s="29"/>
      <c r="K274" s="16" t="s">
        <v>1314</v>
      </c>
      <c r="L274" s="28" t="s">
        <v>38</v>
      </c>
      <c r="M274" s="28" t="s">
        <v>1315</v>
      </c>
      <c r="N274" s="28" t="s">
        <v>1316</v>
      </c>
      <c r="O274" s="29">
        <v>2022</v>
      </c>
      <c r="P274" s="29" t="s">
        <v>41</v>
      </c>
      <c r="Q274" s="29" t="s">
        <v>194</v>
      </c>
      <c r="R274" s="29" t="s">
        <v>63</v>
      </c>
      <c r="S274" s="29" t="s">
        <v>1317</v>
      </c>
      <c r="T274" s="29">
        <v>422200</v>
      </c>
      <c r="U274" s="29" t="s">
        <v>1318</v>
      </c>
      <c r="V274" s="29" t="s">
        <v>36</v>
      </c>
      <c r="W274" s="29" t="s">
        <v>46</v>
      </c>
      <c r="X274" s="29" t="s">
        <v>74</v>
      </c>
      <c r="Y274" s="29" t="s">
        <v>47</v>
      </c>
      <c r="Z274" s="29" t="s">
        <v>75</v>
      </c>
      <c r="AA274" s="29" t="s">
        <v>50</v>
      </c>
      <c r="AB274" s="29" t="s">
        <v>67</v>
      </c>
      <c r="AC274" s="29" t="s">
        <v>52</v>
      </c>
      <c r="AD274" s="29" t="s">
        <v>53</v>
      </c>
      <c r="AE274" s="29" t="s">
        <v>239</v>
      </c>
      <c r="AF274" s="29" t="s">
        <v>239</v>
      </c>
      <c r="AG274" s="29"/>
      <c r="AH274" s="14" t="str">
        <f>VLOOKUP(B274,[1]Sheet1!$A$2:$F$294,6,FALSE)</f>
        <v>无</v>
      </c>
      <c r="AI274" s="14">
        <f>VLOOKUP(B274,[1]Sheet1!$A$2:$F$294,4,FALSE)</f>
        <v>0</v>
      </c>
      <c r="AJ274" s="14" t="str">
        <f>VLOOKUP(B274,[1]Sheet1!$A$2:$F$294,5,FALSE)</f>
        <v>无</v>
      </c>
    </row>
    <row r="275" s="4" customFormat="1" ht="14.25" spans="1:36">
      <c r="A275" s="11">
        <v>274</v>
      </c>
      <c r="B275" s="26">
        <v>22403000538</v>
      </c>
      <c r="C275" s="22" t="s">
        <v>1319</v>
      </c>
      <c r="D275" s="14" t="s">
        <v>746</v>
      </c>
      <c r="E275" s="27" t="s">
        <v>1320</v>
      </c>
      <c r="F275" s="28">
        <v>18974973019</v>
      </c>
      <c r="G275" s="29">
        <v>13874807646</v>
      </c>
      <c r="H275" s="29">
        <v>13487318692</v>
      </c>
      <c r="I275" s="28" t="s">
        <v>58</v>
      </c>
      <c r="J275" s="29"/>
      <c r="K275" s="16" t="s">
        <v>1321</v>
      </c>
      <c r="L275" s="28" t="s">
        <v>59</v>
      </c>
      <c r="M275" s="28" t="s">
        <v>1322</v>
      </c>
      <c r="N275" s="28" t="s">
        <v>1323</v>
      </c>
      <c r="O275" s="29">
        <v>2022</v>
      </c>
      <c r="P275" s="29" t="s">
        <v>41</v>
      </c>
      <c r="Q275" s="29" t="s">
        <v>110</v>
      </c>
      <c r="R275" s="29" t="s">
        <v>43</v>
      </c>
      <c r="S275" s="29" t="s">
        <v>1324</v>
      </c>
      <c r="T275" s="29">
        <v>410100</v>
      </c>
      <c r="U275" s="29" t="s">
        <v>1325</v>
      </c>
      <c r="V275" s="29" t="s">
        <v>58</v>
      </c>
      <c r="W275" s="29" t="s">
        <v>46</v>
      </c>
      <c r="X275" s="29" t="s">
        <v>74</v>
      </c>
      <c r="Y275" s="29" t="s">
        <v>1309</v>
      </c>
      <c r="Z275" s="29" t="s">
        <v>49</v>
      </c>
      <c r="AA275" s="29" t="s">
        <v>50</v>
      </c>
      <c r="AB275" s="29" t="s">
        <v>67</v>
      </c>
      <c r="AC275" s="29" t="s">
        <v>52</v>
      </c>
      <c r="AD275" s="29" t="s">
        <v>53</v>
      </c>
      <c r="AE275" s="29" t="s">
        <v>239</v>
      </c>
      <c r="AF275" s="29" t="s">
        <v>239</v>
      </c>
      <c r="AG275" s="29"/>
      <c r="AH275" s="14" t="str">
        <f>VLOOKUP(B275,[1]Sheet1!$A$2:$F$294,6,FALSE)</f>
        <v>无</v>
      </c>
      <c r="AI275" s="14">
        <f>VLOOKUP(B275,[1]Sheet1!$A$2:$F$294,4,FALSE)</f>
        <v>0</v>
      </c>
      <c r="AJ275" s="14" t="str">
        <f>VLOOKUP(B275,[1]Sheet1!$A$2:$F$294,5,FALSE)</f>
        <v>无</v>
      </c>
    </row>
    <row r="276" s="4" customFormat="1" ht="14.25" spans="1:36">
      <c r="A276" s="11">
        <v>275</v>
      </c>
      <c r="B276" s="26">
        <v>22408000614</v>
      </c>
      <c r="C276" s="22" t="s">
        <v>1326</v>
      </c>
      <c r="D276" s="14" t="s">
        <v>746</v>
      </c>
      <c r="E276" s="27" t="s">
        <v>1327</v>
      </c>
      <c r="F276" s="28">
        <v>15574927117</v>
      </c>
      <c r="G276" s="29">
        <v>15675169098</v>
      </c>
      <c r="H276" s="29">
        <v>13037473262</v>
      </c>
      <c r="I276" s="28" t="s">
        <v>58</v>
      </c>
      <c r="J276" s="29"/>
      <c r="K276" s="16" t="s">
        <v>1328</v>
      </c>
      <c r="L276" s="28" t="s">
        <v>59</v>
      </c>
      <c r="M276" s="28" t="s">
        <v>1322</v>
      </c>
      <c r="N276" s="28" t="s">
        <v>1329</v>
      </c>
      <c r="O276" s="29">
        <v>2202</v>
      </c>
      <c r="P276" s="29" t="s">
        <v>41</v>
      </c>
      <c r="Q276" s="29" t="s">
        <v>115</v>
      </c>
      <c r="R276" s="29" t="s">
        <v>63</v>
      </c>
      <c r="S276" s="29" t="s">
        <v>1330</v>
      </c>
      <c r="T276" s="29"/>
      <c r="U276" s="29" t="s">
        <v>717</v>
      </c>
      <c r="V276" s="29" t="s">
        <v>58</v>
      </c>
      <c r="W276" s="29" t="s">
        <v>46</v>
      </c>
      <c r="X276" s="29" t="s">
        <v>74</v>
      </c>
      <c r="Y276" s="29" t="s">
        <v>1309</v>
      </c>
      <c r="Z276" s="29" t="s">
        <v>49</v>
      </c>
      <c r="AA276" s="29" t="s">
        <v>50</v>
      </c>
      <c r="AB276" s="29" t="s">
        <v>67</v>
      </c>
      <c r="AC276" s="29" t="s">
        <v>52</v>
      </c>
      <c r="AD276" s="29" t="s">
        <v>239</v>
      </c>
      <c r="AE276" s="29" t="s">
        <v>239</v>
      </c>
      <c r="AF276" s="29" t="s">
        <v>239</v>
      </c>
      <c r="AG276" s="29"/>
      <c r="AH276" s="14" t="str">
        <f>VLOOKUP(B276,[1]Sheet1!$A$2:$F$294,6,FALSE)</f>
        <v>无</v>
      </c>
      <c r="AI276" s="14">
        <f>VLOOKUP(B276,[1]Sheet1!$A$2:$F$294,4,FALSE)</f>
        <v>0</v>
      </c>
      <c r="AJ276" s="14" t="str">
        <f>VLOOKUP(B276,[1]Sheet1!$A$2:$F$294,5,FALSE)</f>
        <v>无</v>
      </c>
    </row>
    <row r="277" s="4" customFormat="1" ht="14.25" spans="1:36">
      <c r="A277" s="11">
        <v>276</v>
      </c>
      <c r="B277" s="26">
        <v>21408000102</v>
      </c>
      <c r="C277" s="22" t="s">
        <v>1331</v>
      </c>
      <c r="D277" s="14" t="s">
        <v>746</v>
      </c>
      <c r="E277" s="27" t="s">
        <v>1332</v>
      </c>
      <c r="F277" s="28">
        <v>18859982552</v>
      </c>
      <c r="G277" s="29">
        <v>13215952276</v>
      </c>
      <c r="H277" s="29">
        <v>15570355131</v>
      </c>
      <c r="I277" s="28" t="s">
        <v>58</v>
      </c>
      <c r="J277" s="29"/>
      <c r="K277" s="16" t="s">
        <v>1333</v>
      </c>
      <c r="L277" s="28" t="s">
        <v>59</v>
      </c>
      <c r="M277" s="28" t="s">
        <v>1334</v>
      </c>
      <c r="N277" s="28" t="s">
        <v>1335</v>
      </c>
      <c r="O277" s="29">
        <v>2022</v>
      </c>
      <c r="P277" s="29" t="s">
        <v>41</v>
      </c>
      <c r="Q277" s="29" t="s">
        <v>42</v>
      </c>
      <c r="R277" s="29" t="s">
        <v>63</v>
      </c>
      <c r="S277" s="29" t="s">
        <v>1336</v>
      </c>
      <c r="T277" s="29"/>
      <c r="U277" s="29" t="s">
        <v>1336</v>
      </c>
      <c r="V277" s="29" t="s">
        <v>58</v>
      </c>
      <c r="W277" s="29" t="s">
        <v>46</v>
      </c>
      <c r="X277" s="29" t="s">
        <v>74</v>
      </c>
      <c r="Y277" s="29" t="s">
        <v>47</v>
      </c>
      <c r="Z277" s="29" t="s">
        <v>75</v>
      </c>
      <c r="AA277" s="29" t="s">
        <v>50</v>
      </c>
      <c r="AB277" s="29" t="s">
        <v>67</v>
      </c>
      <c r="AC277" s="29" t="s">
        <v>52</v>
      </c>
      <c r="AD277" s="29" t="s">
        <v>53</v>
      </c>
      <c r="AE277" s="29" t="s">
        <v>239</v>
      </c>
      <c r="AF277" s="29" t="s">
        <v>239</v>
      </c>
      <c r="AG277" s="29" t="s">
        <v>244</v>
      </c>
      <c r="AH277" s="14" t="str">
        <f>VLOOKUP(B277,[1]Sheet1!$A$2:$F$294,6,FALSE)</f>
        <v>无</v>
      </c>
      <c r="AI277" s="14">
        <f>VLOOKUP(B277,[1]Sheet1!$A$2:$F$294,4,FALSE)</f>
        <v>3</v>
      </c>
      <c r="AJ277" s="14" t="str">
        <f>VLOOKUP(B277,[1]Sheet1!$A$2:$F$294,5,FALSE)</f>
        <v>Web系统开发,Web系统开发课程设计,机器学习</v>
      </c>
    </row>
    <row r="278" s="4" customFormat="1" ht="14.25" spans="1:36">
      <c r="A278" s="11">
        <v>277</v>
      </c>
      <c r="B278" s="26">
        <v>22415300240</v>
      </c>
      <c r="C278" s="22" t="s">
        <v>1337</v>
      </c>
      <c r="D278" s="14" t="s">
        <v>887</v>
      </c>
      <c r="E278" s="27" t="s">
        <v>1338</v>
      </c>
      <c r="F278" s="28">
        <v>15218215710</v>
      </c>
      <c r="G278" s="29">
        <v>13827105881</v>
      </c>
      <c r="H278" s="29">
        <v>13822505887</v>
      </c>
      <c r="I278" s="28" t="s">
        <v>58</v>
      </c>
      <c r="J278" s="29"/>
      <c r="K278" s="16" t="s">
        <v>887</v>
      </c>
      <c r="L278" s="28" t="s">
        <v>38</v>
      </c>
      <c r="M278" s="28" t="s">
        <v>1339</v>
      </c>
      <c r="N278" s="28">
        <v>429</v>
      </c>
      <c r="O278" s="29">
        <v>2022</v>
      </c>
      <c r="P278" s="29" t="s">
        <v>41</v>
      </c>
      <c r="Q278" s="29" t="s">
        <v>1340</v>
      </c>
      <c r="R278" s="29" t="s">
        <v>63</v>
      </c>
      <c r="S278" s="29" t="s">
        <v>1341</v>
      </c>
      <c r="T278" s="29">
        <v>524500</v>
      </c>
      <c r="U278" s="29" t="s">
        <v>1340</v>
      </c>
      <c r="V278" s="29" t="s">
        <v>58</v>
      </c>
      <c r="W278" s="29" t="s">
        <v>41</v>
      </c>
      <c r="X278" s="29" t="s">
        <v>74</v>
      </c>
      <c r="Y278" s="29" t="s">
        <v>1309</v>
      </c>
      <c r="Z278" s="29" t="s">
        <v>75</v>
      </c>
      <c r="AA278" s="29" t="s">
        <v>50</v>
      </c>
      <c r="AB278" s="29" t="s">
        <v>67</v>
      </c>
      <c r="AC278" s="29" t="s">
        <v>52</v>
      </c>
      <c r="AD278" s="29" t="s">
        <v>239</v>
      </c>
      <c r="AE278" s="29" t="s">
        <v>239</v>
      </c>
      <c r="AF278" s="29" t="s">
        <v>239</v>
      </c>
      <c r="AG278" s="29"/>
      <c r="AH278" s="14" t="str">
        <f>VLOOKUP(B278,[1]Sheet1!$A$2:$F$294,6,FALSE)</f>
        <v>无</v>
      </c>
      <c r="AI278" s="14">
        <f>VLOOKUP(B278,[1]Sheet1!$A$2:$F$294,4,FALSE)</f>
        <v>1</v>
      </c>
      <c r="AJ278" s="14" t="str">
        <f>VLOOKUP(B278,[1]Sheet1!$A$2:$F$294,5,FALSE)</f>
        <v>计算机基础B</v>
      </c>
    </row>
    <row r="279" s="4" customFormat="1" ht="14.25" spans="1:36">
      <c r="A279" s="11">
        <v>278</v>
      </c>
      <c r="B279" s="26">
        <v>21408000221</v>
      </c>
      <c r="C279" s="22" t="s">
        <v>1342</v>
      </c>
      <c r="D279" s="14" t="s">
        <v>887</v>
      </c>
      <c r="E279" s="27" t="s">
        <v>1343</v>
      </c>
      <c r="F279" s="28">
        <v>13231955921</v>
      </c>
      <c r="G279" s="29">
        <v>13785868456</v>
      </c>
      <c r="H279" s="29">
        <v>15175817917</v>
      </c>
      <c r="I279" s="28" t="s">
        <v>58</v>
      </c>
      <c r="J279" s="29"/>
      <c r="K279" s="16" t="s">
        <v>1344</v>
      </c>
      <c r="L279" s="28" t="s">
        <v>59</v>
      </c>
      <c r="M279" s="28" t="s">
        <v>152</v>
      </c>
      <c r="N279" s="28" t="s">
        <v>1345</v>
      </c>
      <c r="O279" s="29">
        <v>2021</v>
      </c>
      <c r="P279" s="29" t="s">
        <v>41</v>
      </c>
      <c r="Q279" s="29" t="s">
        <v>1075</v>
      </c>
      <c r="R279" s="29" t="s">
        <v>43</v>
      </c>
      <c r="S279" s="29" t="s">
        <v>1346</v>
      </c>
      <c r="T279" s="29">
        <v>51800</v>
      </c>
      <c r="U279" s="29" t="s">
        <v>1075</v>
      </c>
      <c r="V279" s="29" t="s">
        <v>58</v>
      </c>
      <c r="W279" s="29" t="s">
        <v>41</v>
      </c>
      <c r="X279" s="29" t="s">
        <v>74</v>
      </c>
      <c r="Y279" s="29" t="s">
        <v>1309</v>
      </c>
      <c r="Z279" s="29" t="s">
        <v>49</v>
      </c>
      <c r="AA279" s="29" t="s">
        <v>50</v>
      </c>
      <c r="AB279" s="29" t="s">
        <v>67</v>
      </c>
      <c r="AC279" s="29" t="s">
        <v>52</v>
      </c>
      <c r="AD279" s="29" t="s">
        <v>53</v>
      </c>
      <c r="AE279" s="29" t="s">
        <v>239</v>
      </c>
      <c r="AF279" s="29" t="s">
        <v>239</v>
      </c>
      <c r="AG279" s="29" t="s">
        <v>1347</v>
      </c>
      <c r="AH279" s="14" t="str">
        <f>VLOOKUP(B279,[1]Sheet1!$A$2:$F$294,6,FALSE)</f>
        <v>无</v>
      </c>
      <c r="AI279" s="14">
        <f>VLOOKUP(B279,[1]Sheet1!$A$2:$F$294,4,FALSE)</f>
        <v>0</v>
      </c>
      <c r="AJ279" s="14" t="str">
        <f>VLOOKUP(B279,[1]Sheet1!$A$2:$F$294,5,FALSE)</f>
        <v>无</v>
      </c>
    </row>
    <row r="280" s="4" customFormat="1" ht="14.25" spans="1:36">
      <c r="A280" s="11">
        <v>279</v>
      </c>
      <c r="B280" s="26">
        <v>22403500235</v>
      </c>
      <c r="C280" s="22" t="s">
        <v>1348</v>
      </c>
      <c r="D280" s="14" t="s">
        <v>887</v>
      </c>
      <c r="E280" s="27" t="s">
        <v>1349</v>
      </c>
      <c r="F280" s="28">
        <v>19719937512</v>
      </c>
      <c r="G280" s="29">
        <v>13768715032</v>
      </c>
      <c r="H280" s="29">
        <v>13471352875</v>
      </c>
      <c r="I280" s="28" t="s">
        <v>58</v>
      </c>
      <c r="J280" s="29"/>
      <c r="K280" s="16" t="s">
        <v>887</v>
      </c>
      <c r="L280" s="28" t="s">
        <v>38</v>
      </c>
      <c r="M280" s="28" t="s">
        <v>1350</v>
      </c>
      <c r="N280" s="28">
        <v>419</v>
      </c>
      <c r="O280" s="29">
        <v>2022</v>
      </c>
      <c r="P280" s="29" t="s">
        <v>41</v>
      </c>
      <c r="Q280" s="29" t="s">
        <v>115</v>
      </c>
      <c r="R280" s="29" t="s">
        <v>43</v>
      </c>
      <c r="S280" s="29" t="s">
        <v>1351</v>
      </c>
      <c r="T280" s="29">
        <v>541900</v>
      </c>
      <c r="U280" s="29" t="s">
        <v>1352</v>
      </c>
      <c r="V280" s="29" t="s">
        <v>58</v>
      </c>
      <c r="W280" s="29" t="s">
        <v>41</v>
      </c>
      <c r="X280" s="29" t="s">
        <v>74</v>
      </c>
      <c r="Y280" s="29" t="s">
        <v>1309</v>
      </c>
      <c r="Z280" s="29" t="s">
        <v>49</v>
      </c>
      <c r="AA280" s="29" t="s">
        <v>50</v>
      </c>
      <c r="AB280" s="29" t="s">
        <v>67</v>
      </c>
      <c r="AC280" s="29" t="s">
        <v>52</v>
      </c>
      <c r="AD280" s="29" t="s">
        <v>239</v>
      </c>
      <c r="AE280" s="29" t="s">
        <v>239</v>
      </c>
      <c r="AF280" s="29" t="s">
        <v>239</v>
      </c>
      <c r="AG280" s="29"/>
      <c r="AH280" s="14" t="str">
        <f>VLOOKUP(B280,[1]Sheet1!$A$2:$F$294,6,FALSE)</f>
        <v>无</v>
      </c>
      <c r="AI280" s="14">
        <f>VLOOKUP(B280,[1]Sheet1!$A$2:$F$294,4,FALSE)</f>
        <v>1</v>
      </c>
      <c r="AJ280" s="14" t="str">
        <f>VLOOKUP(B280,[1]Sheet1!$A$2:$F$294,5,FALSE)</f>
        <v>计算机基础A</v>
      </c>
    </row>
    <row r="281" s="4" customFormat="1" ht="14.25" spans="1:36">
      <c r="A281" s="11">
        <v>280</v>
      </c>
      <c r="B281" s="26">
        <v>20408000112</v>
      </c>
      <c r="C281" s="22" t="s">
        <v>1353</v>
      </c>
      <c r="D281" s="14" t="s">
        <v>887</v>
      </c>
      <c r="E281" s="27" t="s">
        <v>1354</v>
      </c>
      <c r="F281" s="28">
        <v>17267610536</v>
      </c>
      <c r="G281" s="29">
        <v>15974105075</v>
      </c>
      <c r="H281" s="29">
        <v>13549645876</v>
      </c>
      <c r="I281" s="28" t="s">
        <v>58</v>
      </c>
      <c r="J281" s="29"/>
      <c r="K281" s="16" t="s">
        <v>1355</v>
      </c>
      <c r="L281" s="28" t="s">
        <v>59</v>
      </c>
      <c r="M281" s="28" t="s">
        <v>1176</v>
      </c>
      <c r="N281" s="28" t="s">
        <v>1356</v>
      </c>
      <c r="O281" s="29">
        <v>2020</v>
      </c>
      <c r="P281" s="29" t="s">
        <v>41</v>
      </c>
      <c r="Q281" s="29" t="s">
        <v>110</v>
      </c>
      <c r="R281" s="29" t="s">
        <v>63</v>
      </c>
      <c r="S281" s="29" t="s">
        <v>1357</v>
      </c>
      <c r="T281" s="29">
        <v>410000</v>
      </c>
      <c r="U281" s="29" t="s">
        <v>110</v>
      </c>
      <c r="V281" s="29" t="s">
        <v>58</v>
      </c>
      <c r="W281" s="29" t="s">
        <v>41</v>
      </c>
      <c r="X281" s="29" t="s">
        <v>74</v>
      </c>
      <c r="Y281" s="29" t="s">
        <v>47</v>
      </c>
      <c r="Z281" s="29" t="s">
        <v>49</v>
      </c>
      <c r="AA281" s="29" t="s">
        <v>50</v>
      </c>
      <c r="AB281" s="29" t="s">
        <v>67</v>
      </c>
      <c r="AC281" s="29" t="s">
        <v>52</v>
      </c>
      <c r="AD281" s="29" t="s">
        <v>53</v>
      </c>
      <c r="AE281" s="29" t="s">
        <v>239</v>
      </c>
      <c r="AF281" s="29" t="s">
        <v>239</v>
      </c>
      <c r="AG281" s="29" t="s">
        <v>1358</v>
      </c>
      <c r="AH281" s="14" t="str">
        <f>VLOOKUP(B281,[1]Sheet1!$A$2:$F$294,6,FALSE)</f>
        <v>无</v>
      </c>
      <c r="AI281" s="14">
        <f>VLOOKUP(B281,[1]Sheet1!$A$2:$F$294,4,FALSE)</f>
        <v>8</v>
      </c>
      <c r="AJ281" s="14" t="str">
        <f>VLOOKUP(B281,[1]Sheet1!$A$2:$F$294,5,FALSE)</f>
        <v>信号与系统,数据库原理,移动应用开发,移动应用开发实训,程序设计综合实训,计算机组成原理,认识实习,软件开发综合实训</v>
      </c>
    </row>
    <row r="282" s="4" customFormat="1" ht="14.25" spans="1:36">
      <c r="A282" s="11">
        <v>281</v>
      </c>
      <c r="B282" s="26">
        <v>21408000209</v>
      </c>
      <c r="C282" s="22" t="s">
        <v>1359</v>
      </c>
      <c r="D282" s="14" t="s">
        <v>887</v>
      </c>
      <c r="E282" s="27" t="s">
        <v>1360</v>
      </c>
      <c r="F282" s="28">
        <v>15928048502</v>
      </c>
      <c r="G282" s="29"/>
      <c r="H282" s="29">
        <v>13981952850</v>
      </c>
      <c r="I282" s="28" t="s">
        <v>58</v>
      </c>
      <c r="J282" s="29"/>
      <c r="K282" s="16" t="s">
        <v>887</v>
      </c>
      <c r="L282" s="28" t="s">
        <v>59</v>
      </c>
      <c r="M282" s="28" t="s">
        <v>152</v>
      </c>
      <c r="N282" s="28">
        <v>108</v>
      </c>
      <c r="O282" s="29">
        <v>2021</v>
      </c>
      <c r="P282" s="29" t="s">
        <v>41</v>
      </c>
      <c r="Q282" s="29" t="s">
        <v>1361</v>
      </c>
      <c r="R282" s="29" t="s">
        <v>63</v>
      </c>
      <c r="S282" s="29"/>
      <c r="T282" s="29"/>
      <c r="U282" s="29" t="s">
        <v>1361</v>
      </c>
      <c r="V282" s="29" t="s">
        <v>58</v>
      </c>
      <c r="W282" s="29" t="s">
        <v>41</v>
      </c>
      <c r="X282" s="29" t="s">
        <v>47</v>
      </c>
      <c r="Y282" s="29" t="s">
        <v>47</v>
      </c>
      <c r="Z282" s="29" t="s">
        <v>49</v>
      </c>
      <c r="AA282" s="29" t="s">
        <v>50</v>
      </c>
      <c r="AB282" s="29" t="s">
        <v>67</v>
      </c>
      <c r="AC282" s="29" t="s">
        <v>1362</v>
      </c>
      <c r="AD282" s="29" t="s">
        <v>239</v>
      </c>
      <c r="AE282" s="29"/>
      <c r="AF282" s="29"/>
      <c r="AG282" s="29" t="s">
        <v>1363</v>
      </c>
      <c r="AH282" s="14" t="str">
        <f>VLOOKUP(B282,[1]Sheet1!$A$2:$F$294,6,FALSE)</f>
        <v>无</v>
      </c>
      <c r="AI282" s="14">
        <f>VLOOKUP(B282,[1]Sheet1!$A$2:$F$294,4,FALSE)</f>
        <v>2</v>
      </c>
      <c r="AJ282" s="14" t="str">
        <f>VLOOKUP(B282,[1]Sheet1!$A$2:$F$294,5,FALSE)</f>
        <v>计算机组成原理,软件开发综合实训</v>
      </c>
    </row>
    <row r="283" s="2" customFormat="1" ht="14.25" spans="1:36">
      <c r="A283" s="11">
        <v>282</v>
      </c>
      <c r="B283" s="12">
        <v>22408000501</v>
      </c>
      <c r="C283" s="13" t="s">
        <v>1364</v>
      </c>
      <c r="D283" s="28" t="s">
        <v>1002</v>
      </c>
      <c r="E283" s="15" t="s">
        <v>1365</v>
      </c>
      <c r="F283" s="14">
        <v>18073665981</v>
      </c>
      <c r="G283" s="15"/>
      <c r="H283" s="15">
        <v>18975664221</v>
      </c>
      <c r="I283" s="14" t="s">
        <v>58</v>
      </c>
      <c r="J283" s="15"/>
      <c r="K283" s="16" t="s">
        <v>1366</v>
      </c>
      <c r="L283" s="14" t="s">
        <v>59</v>
      </c>
      <c r="M283" s="14" t="s">
        <v>1199</v>
      </c>
      <c r="N283" s="14">
        <v>518</v>
      </c>
      <c r="O283" s="15">
        <v>2022</v>
      </c>
      <c r="P283" s="15" t="s">
        <v>41</v>
      </c>
      <c r="Q283" s="15" t="s">
        <v>194</v>
      </c>
      <c r="R283" s="15" t="s">
        <v>63</v>
      </c>
      <c r="S283" s="15" t="s">
        <v>1367</v>
      </c>
      <c r="T283" s="15">
        <v>415000</v>
      </c>
      <c r="U283" s="15" t="s">
        <v>158</v>
      </c>
      <c r="V283" s="15" t="s">
        <v>58</v>
      </c>
      <c r="W283" s="15" t="s">
        <v>41</v>
      </c>
      <c r="X283" s="15" t="s">
        <v>74</v>
      </c>
      <c r="Y283" s="15" t="s">
        <v>1368</v>
      </c>
      <c r="Z283" s="15" t="s">
        <v>49</v>
      </c>
      <c r="AA283" s="32" t="s">
        <v>50</v>
      </c>
      <c r="AB283" s="32" t="s">
        <v>51</v>
      </c>
      <c r="AC283" s="15" t="s">
        <v>52</v>
      </c>
      <c r="AD283" s="15" t="s">
        <v>53</v>
      </c>
      <c r="AE283" s="15" t="s">
        <v>239</v>
      </c>
      <c r="AF283" s="15" t="s">
        <v>239</v>
      </c>
      <c r="AG283" s="15"/>
      <c r="AH283" s="14" t="str">
        <f>VLOOKUP(B283,[1]Sheet1!$A$2:$F$294,6,FALSE)</f>
        <v>无</v>
      </c>
      <c r="AI283" s="14">
        <f>VLOOKUP(B283,[1]Sheet1!$A$2:$F$294,4,FALSE)</f>
        <v>0</v>
      </c>
      <c r="AJ283" s="14" t="str">
        <f>VLOOKUP(B283,[1]Sheet1!$A$2:$F$294,5,FALSE)</f>
        <v>无</v>
      </c>
    </row>
    <row r="284" s="2" customFormat="1" ht="14.25" spans="1:36">
      <c r="A284" s="11">
        <v>283</v>
      </c>
      <c r="B284" s="12">
        <v>22419300125</v>
      </c>
      <c r="C284" s="13" t="s">
        <v>1369</v>
      </c>
      <c r="D284" s="28" t="s">
        <v>1002</v>
      </c>
      <c r="E284" s="41" t="s">
        <v>1370</v>
      </c>
      <c r="F284" s="14">
        <v>16692190901</v>
      </c>
      <c r="G284" s="15">
        <v>13523504958</v>
      </c>
      <c r="H284" s="15">
        <v>15838279091</v>
      </c>
      <c r="I284" s="14" t="s">
        <v>58</v>
      </c>
      <c r="J284" s="15"/>
      <c r="K284" s="31" t="s">
        <v>253</v>
      </c>
      <c r="L284" s="14" t="s">
        <v>38</v>
      </c>
      <c r="M284" s="14" t="s">
        <v>1176</v>
      </c>
      <c r="N284" s="14">
        <v>401</v>
      </c>
      <c r="O284" s="15">
        <v>2022</v>
      </c>
      <c r="P284" s="15" t="s">
        <v>41</v>
      </c>
      <c r="Q284" s="32" t="s">
        <v>1371</v>
      </c>
      <c r="R284" s="32" t="s">
        <v>63</v>
      </c>
      <c r="S284" s="15" t="s">
        <v>1372</v>
      </c>
      <c r="T284" s="15">
        <v>450123</v>
      </c>
      <c r="U284" s="32" t="s">
        <v>1371</v>
      </c>
      <c r="V284" s="15" t="s">
        <v>58</v>
      </c>
      <c r="W284" s="15" t="s">
        <v>41</v>
      </c>
      <c r="X284" s="15" t="s">
        <v>74</v>
      </c>
      <c r="Y284" s="32" t="s">
        <v>1373</v>
      </c>
      <c r="Z284" s="32" t="s">
        <v>49</v>
      </c>
      <c r="AA284" s="32" t="s">
        <v>50</v>
      </c>
      <c r="AB284" s="32" t="s">
        <v>51</v>
      </c>
      <c r="AC284" s="15" t="s">
        <v>52</v>
      </c>
      <c r="AD284" s="32" t="s">
        <v>53</v>
      </c>
      <c r="AE284" s="15" t="s">
        <v>239</v>
      </c>
      <c r="AF284" s="15" t="s">
        <v>239</v>
      </c>
      <c r="AG284" s="15"/>
      <c r="AH284" s="14" t="str">
        <f>VLOOKUP(B284,[1]Sheet1!$A$2:$F$294,6,FALSE)</f>
        <v>无</v>
      </c>
      <c r="AI284" s="14">
        <f>VLOOKUP(B284,[1]Sheet1!$A$2:$F$294,4,FALSE)</f>
        <v>0</v>
      </c>
      <c r="AJ284" s="14" t="str">
        <f>VLOOKUP(B284,[1]Sheet1!$A$2:$F$294,5,FALSE)</f>
        <v>无</v>
      </c>
    </row>
    <row r="285" s="2" customFormat="1" ht="14.25" spans="1:36">
      <c r="A285" s="11">
        <v>284</v>
      </c>
      <c r="B285" s="12">
        <v>21408000806</v>
      </c>
      <c r="C285" s="13" t="s">
        <v>1374</v>
      </c>
      <c r="D285" s="28" t="s">
        <v>1002</v>
      </c>
      <c r="E285" s="41" t="s">
        <v>1375</v>
      </c>
      <c r="F285" s="14">
        <v>19937309952</v>
      </c>
      <c r="G285" s="15">
        <v>13383979979</v>
      </c>
      <c r="H285" s="15">
        <v>13783969233</v>
      </c>
      <c r="I285" s="14" t="s">
        <v>58</v>
      </c>
      <c r="J285" s="15"/>
      <c r="K285" s="16" t="s">
        <v>1376</v>
      </c>
      <c r="L285" s="14" t="s">
        <v>59</v>
      </c>
      <c r="M285" s="14" t="s">
        <v>1199</v>
      </c>
      <c r="N285" s="14" t="s">
        <v>1377</v>
      </c>
      <c r="O285" s="15">
        <v>2021</v>
      </c>
      <c r="P285" s="15" t="s">
        <v>41</v>
      </c>
      <c r="Q285" s="15" t="s">
        <v>1378</v>
      </c>
      <c r="R285" s="15" t="s">
        <v>63</v>
      </c>
      <c r="S285" s="15" t="s">
        <v>1379</v>
      </c>
      <c r="T285" s="15">
        <v>464000</v>
      </c>
      <c r="U285" s="15" t="s">
        <v>1378</v>
      </c>
      <c r="V285" s="15" t="s">
        <v>58</v>
      </c>
      <c r="W285" s="15" t="s">
        <v>41</v>
      </c>
      <c r="X285" s="15" t="s">
        <v>74</v>
      </c>
      <c r="Y285" s="15" t="s">
        <v>47</v>
      </c>
      <c r="Z285" s="15" t="s">
        <v>49</v>
      </c>
      <c r="AA285" s="15" t="s">
        <v>50</v>
      </c>
      <c r="AB285" s="15" t="s">
        <v>51</v>
      </c>
      <c r="AC285" s="15" t="s">
        <v>52</v>
      </c>
      <c r="AD285" s="15" t="s">
        <v>53</v>
      </c>
      <c r="AE285" s="15" t="s">
        <v>239</v>
      </c>
      <c r="AF285" s="15" t="s">
        <v>239</v>
      </c>
      <c r="AG285" s="15" t="s">
        <v>1380</v>
      </c>
      <c r="AH285" s="14" t="str">
        <f>VLOOKUP(B285,[1]Sheet1!$A$2:$F$294,6,FALSE)</f>
        <v>无</v>
      </c>
      <c r="AI285" s="14">
        <f>VLOOKUP(B285,[1]Sheet1!$A$2:$F$294,4,FALSE)</f>
        <v>1</v>
      </c>
      <c r="AJ285" s="14" t="str">
        <f>VLOOKUP(B285,[1]Sheet1!$A$2:$F$294,5,FALSE)</f>
        <v>单片机与接口技术</v>
      </c>
    </row>
    <row r="286" s="2" customFormat="1" ht="14.25" spans="1:36">
      <c r="A286" s="11">
        <v>285</v>
      </c>
      <c r="B286" s="12">
        <v>21408000414</v>
      </c>
      <c r="C286" s="13" t="s">
        <v>1381</v>
      </c>
      <c r="D286" s="28" t="s">
        <v>1002</v>
      </c>
      <c r="E286" s="15" t="s">
        <v>1382</v>
      </c>
      <c r="F286" s="14" t="s">
        <v>1383</v>
      </c>
      <c r="G286" s="15" t="s">
        <v>1384</v>
      </c>
      <c r="H286" s="15" t="s">
        <v>1385</v>
      </c>
      <c r="I286" s="14" t="s">
        <v>58</v>
      </c>
      <c r="J286" s="15"/>
      <c r="K286" s="16" t="s">
        <v>1344</v>
      </c>
      <c r="L286" s="14" t="s">
        <v>59</v>
      </c>
      <c r="M286" s="14" t="s">
        <v>1199</v>
      </c>
      <c r="N286" s="14">
        <v>523</v>
      </c>
      <c r="O286" s="15">
        <v>2021</v>
      </c>
      <c r="P286" s="15" t="s">
        <v>41</v>
      </c>
      <c r="Q286" s="15" t="s">
        <v>1386</v>
      </c>
      <c r="R286" s="15" t="s">
        <v>43</v>
      </c>
      <c r="S286" s="15" t="s">
        <v>1387</v>
      </c>
      <c r="T286" s="15">
        <v>810012</v>
      </c>
      <c r="U286" s="15" t="s">
        <v>1388</v>
      </c>
      <c r="V286" s="15" t="s">
        <v>58</v>
      </c>
      <c r="W286" s="15" t="s">
        <v>41</v>
      </c>
      <c r="X286" s="15" t="s">
        <v>74</v>
      </c>
      <c r="Y286" s="15" t="s">
        <v>1368</v>
      </c>
      <c r="Z286" s="15" t="s">
        <v>49</v>
      </c>
      <c r="AA286" s="15" t="s">
        <v>1299</v>
      </c>
      <c r="AB286" s="15" t="s">
        <v>67</v>
      </c>
      <c r="AC286" s="15" t="s">
        <v>52</v>
      </c>
      <c r="AD286" s="15" t="s">
        <v>53</v>
      </c>
      <c r="AE286" s="15" t="s">
        <v>1389</v>
      </c>
      <c r="AF286" s="15" t="s">
        <v>239</v>
      </c>
      <c r="AG286" s="15" t="s">
        <v>305</v>
      </c>
      <c r="AH286" s="14" t="str">
        <f>VLOOKUP(B286,[1]Sheet1!$A$2:$F$294,6,FALSE)</f>
        <v>无</v>
      </c>
      <c r="AI286" s="14">
        <f>VLOOKUP(B286,[1]Sheet1!$A$2:$F$294,4,FALSE)</f>
        <v>3</v>
      </c>
      <c r="AJ286" s="14" t="str">
        <f>VLOOKUP(B286,[1]Sheet1!$A$2:$F$294,5,FALSE)</f>
        <v>信息技术导论,数据库原理,计算机组成原理</v>
      </c>
    </row>
    <row r="287" s="3" customFormat="1" ht="14.25" spans="1:36">
      <c r="A287" s="17">
        <v>286</v>
      </c>
      <c r="B287" s="18">
        <v>21408000720</v>
      </c>
      <c r="C287" s="36" t="s">
        <v>1390</v>
      </c>
      <c r="D287" s="37" t="s">
        <v>607</v>
      </c>
      <c r="E287" s="19" t="s">
        <v>1391</v>
      </c>
      <c r="F287" s="19" t="s">
        <v>1392</v>
      </c>
      <c r="G287" s="19"/>
      <c r="H287" s="19" t="s">
        <v>1393</v>
      </c>
      <c r="I287" s="19" t="s">
        <v>58</v>
      </c>
      <c r="J287" s="19"/>
      <c r="K287" s="20"/>
      <c r="L287" s="19"/>
      <c r="M287" s="19" t="s">
        <v>1394</v>
      </c>
      <c r="N287" s="19"/>
      <c r="O287" s="19" t="s">
        <v>1394</v>
      </c>
      <c r="P287" s="19" t="s">
        <v>434</v>
      </c>
      <c r="Q287" s="19"/>
      <c r="R287" s="19" t="s">
        <v>63</v>
      </c>
      <c r="S287" s="19" t="s">
        <v>1395</v>
      </c>
      <c r="T287" s="19"/>
      <c r="U287" s="19"/>
      <c r="V287" s="19"/>
      <c r="W287" s="19" t="s">
        <v>434</v>
      </c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4" t="str">
        <f>VLOOKUP(B287,[1]Sheet1!$A$2:$F$294,6,FALSE)</f>
        <v>无</v>
      </c>
      <c r="AI287" s="14">
        <f>VLOOKUP(B287,[1]Sheet1!$A$2:$F$294,4,FALSE)</f>
        <v>0</v>
      </c>
      <c r="AJ287" s="14" t="str">
        <f>VLOOKUP(B287,[1]Sheet1!$A$2:$F$294,5,FALSE)</f>
        <v>无</v>
      </c>
    </row>
    <row r="288" s="2" customFormat="1" ht="14.25" spans="1:36">
      <c r="A288" s="11">
        <v>287</v>
      </c>
      <c r="B288" s="12">
        <v>22408000518</v>
      </c>
      <c r="C288" s="38" t="s">
        <v>1396</v>
      </c>
      <c r="D288" s="39" t="s">
        <v>607</v>
      </c>
      <c r="E288" s="15" t="s">
        <v>1397</v>
      </c>
      <c r="F288" s="14" t="s">
        <v>1398</v>
      </c>
      <c r="G288" s="15"/>
      <c r="H288" s="15" t="s">
        <v>1399</v>
      </c>
      <c r="I288" s="14" t="s">
        <v>58</v>
      </c>
      <c r="J288" s="15"/>
      <c r="K288" s="16"/>
      <c r="L288" s="14"/>
      <c r="M288" s="14" t="s">
        <v>1394</v>
      </c>
      <c r="N288" s="14"/>
      <c r="O288" s="15" t="s">
        <v>1394</v>
      </c>
      <c r="P288" s="15" t="s">
        <v>41</v>
      </c>
      <c r="Q288" s="15"/>
      <c r="R288" s="15" t="s">
        <v>63</v>
      </c>
      <c r="S288" s="15" t="s">
        <v>1400</v>
      </c>
      <c r="T288" s="15"/>
      <c r="U288" s="15"/>
      <c r="V288" s="15"/>
      <c r="W288" s="15" t="s">
        <v>41</v>
      </c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4" t="str">
        <f>VLOOKUP(B288,[1]Sheet1!$A$2:$F$294,6,FALSE)</f>
        <v>无</v>
      </c>
      <c r="AI288" s="14">
        <f>VLOOKUP(B288,[1]Sheet1!$A$2:$F$294,4,FALSE)</f>
        <v>0</v>
      </c>
      <c r="AJ288" s="14" t="str">
        <f>VLOOKUP(B288,[1]Sheet1!$A$2:$F$294,5,FALSE)</f>
        <v>无</v>
      </c>
    </row>
    <row r="289" s="3" customFormat="1" ht="14.25" spans="1:36">
      <c r="A289" s="17">
        <v>288</v>
      </c>
      <c r="B289" s="18">
        <v>21408000622</v>
      </c>
      <c r="C289" s="36" t="s">
        <v>1401</v>
      </c>
      <c r="D289" s="37" t="s">
        <v>607</v>
      </c>
      <c r="E289" s="19" t="s">
        <v>1402</v>
      </c>
      <c r="F289" s="19" t="s">
        <v>1403</v>
      </c>
      <c r="G289" s="19"/>
      <c r="H289" s="19" t="s">
        <v>1404</v>
      </c>
      <c r="I289" s="19" t="s">
        <v>36</v>
      </c>
      <c r="J289" s="19"/>
      <c r="K289" s="20"/>
      <c r="L289" s="19"/>
      <c r="M289" s="19" t="s">
        <v>1394</v>
      </c>
      <c r="N289" s="19"/>
      <c r="O289" s="19" t="s">
        <v>1394</v>
      </c>
      <c r="P289" s="19" t="s">
        <v>41</v>
      </c>
      <c r="Q289" s="19"/>
      <c r="R289" s="19" t="s">
        <v>63</v>
      </c>
      <c r="S289" s="19" t="s">
        <v>1405</v>
      </c>
      <c r="T289" s="19"/>
      <c r="U289" s="19"/>
      <c r="V289" s="19"/>
      <c r="W289" s="19" t="s">
        <v>41</v>
      </c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4" t="str">
        <f>VLOOKUP(B289,[1]Sheet1!$A$2:$F$294,6,FALSE)</f>
        <v>无</v>
      </c>
      <c r="AI289" s="14">
        <f>VLOOKUP(B289,[1]Sheet1!$A$2:$F$294,4,FALSE)</f>
        <v>2</v>
      </c>
      <c r="AJ289" s="14" t="str">
        <f>VLOOKUP(B289,[1]Sheet1!$A$2:$F$294,5,FALSE)</f>
        <v>毕业实习B,毕业设计（论文）B</v>
      </c>
    </row>
    <row r="290" s="2" customFormat="1" ht="14.25" spans="1:36">
      <c r="A290" s="11">
        <v>289</v>
      </c>
      <c r="B290" s="12">
        <v>19450150266</v>
      </c>
      <c r="C290" s="38" t="s">
        <v>575</v>
      </c>
      <c r="D290" s="39" t="s">
        <v>1002</v>
      </c>
      <c r="E290" s="41" t="s">
        <v>1406</v>
      </c>
      <c r="F290" s="14" t="s">
        <v>1394</v>
      </c>
      <c r="G290" s="15"/>
      <c r="H290" s="15" t="s">
        <v>1407</v>
      </c>
      <c r="I290" s="14" t="s">
        <v>58</v>
      </c>
      <c r="J290" s="15"/>
      <c r="K290" s="16"/>
      <c r="L290" s="14"/>
      <c r="M290" s="14" t="s">
        <v>1394</v>
      </c>
      <c r="N290" s="14"/>
      <c r="O290" s="15" t="s">
        <v>1394</v>
      </c>
      <c r="P290" s="15" t="s">
        <v>542</v>
      </c>
      <c r="Q290" s="15"/>
      <c r="R290" s="15" t="s">
        <v>63</v>
      </c>
      <c r="S290" s="15" t="s">
        <v>1408</v>
      </c>
      <c r="T290" s="15"/>
      <c r="U290" s="15"/>
      <c r="V290" s="15"/>
      <c r="W290" s="15" t="s">
        <v>542</v>
      </c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4" t="str">
        <f>VLOOKUP(B290,[1]Sheet1!$A$2:$F$294,6,FALSE)</f>
        <v>无</v>
      </c>
      <c r="AI290" s="14">
        <f>VLOOKUP(B290,[1]Sheet1!$A$2:$F$294,4,FALSE)</f>
        <v>10</v>
      </c>
      <c r="AJ290" s="14" t="str">
        <f>VLOOKUP(B290,[1]Sheet1!$A$2:$F$294,5,FALSE)</f>
        <v>Java程序设计,信号与系统,信息技术导论,数据库原理,数据结构课程设计,移动应用开发,移动应用开发实训,程序设计综合实训,计算机组成原理,软件开发综合实训</v>
      </c>
    </row>
    <row r="291" s="2" customFormat="1" ht="14.25" spans="1:36">
      <c r="A291" s="11">
        <v>290</v>
      </c>
      <c r="B291" s="12">
        <v>22403500104</v>
      </c>
      <c r="C291" s="38" t="s">
        <v>1409</v>
      </c>
      <c r="D291" s="39" t="s">
        <v>1002</v>
      </c>
      <c r="E291" s="15" t="s">
        <v>1410</v>
      </c>
      <c r="F291" s="14" t="s">
        <v>1411</v>
      </c>
      <c r="G291" s="15"/>
      <c r="H291" s="15" t="s">
        <v>1412</v>
      </c>
      <c r="I291" s="14" t="s">
        <v>58</v>
      </c>
      <c r="J291" s="15"/>
      <c r="K291" s="16"/>
      <c r="L291" s="14"/>
      <c r="M291" s="14" t="s">
        <v>1394</v>
      </c>
      <c r="N291" s="14"/>
      <c r="O291" s="15" t="s">
        <v>1394</v>
      </c>
      <c r="P291" s="15" t="s">
        <v>41</v>
      </c>
      <c r="Q291" s="15"/>
      <c r="R291" s="15" t="s">
        <v>43</v>
      </c>
      <c r="S291" s="15" t="s">
        <v>1413</v>
      </c>
      <c r="T291" s="15"/>
      <c r="U291" s="15"/>
      <c r="V291" s="15"/>
      <c r="W291" s="15" t="s">
        <v>41</v>
      </c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4" t="str">
        <f>VLOOKUP(B291,[1]Sheet1!$A$2:$F$294,6,FALSE)</f>
        <v>无</v>
      </c>
      <c r="AI291" s="14">
        <f>VLOOKUP(B291,[1]Sheet1!$A$2:$F$294,4,FALSE)</f>
        <v>10</v>
      </c>
      <c r="AJ291" s="14" t="str">
        <f>VLOOKUP(B291,[1]Sheet1!$A$2:$F$294,5,FALSE)</f>
        <v>Linux操作系统,传感器原理及应用,信息技术导论,单片机与接口技术,单片机开发综合实训,数据通信技术,移动应用开发,计算机操作系统,计算机网络,面向过程程序设计(C语言)课程设计</v>
      </c>
    </row>
    <row r="292" s="3" customFormat="1" ht="14.25" spans="1:36">
      <c r="A292" s="17">
        <v>291</v>
      </c>
      <c r="B292" s="18">
        <v>21408000803</v>
      </c>
      <c r="C292" s="36" t="s">
        <v>1414</v>
      </c>
      <c r="D292" s="37" t="s">
        <v>887</v>
      </c>
      <c r="E292" s="19" t="s">
        <v>1415</v>
      </c>
      <c r="F292" s="19" t="s">
        <v>1416</v>
      </c>
      <c r="G292" s="19"/>
      <c r="H292" s="19" t="s">
        <v>1417</v>
      </c>
      <c r="I292" s="19" t="s">
        <v>58</v>
      </c>
      <c r="J292" s="19"/>
      <c r="K292" s="20"/>
      <c r="L292" s="19"/>
      <c r="M292" s="19" t="s">
        <v>1394</v>
      </c>
      <c r="N292" s="19"/>
      <c r="O292" s="19" t="s">
        <v>1394</v>
      </c>
      <c r="P292" s="19" t="s">
        <v>41</v>
      </c>
      <c r="Q292" s="19"/>
      <c r="R292" s="19" t="s">
        <v>63</v>
      </c>
      <c r="S292" s="19" t="s">
        <v>1418</v>
      </c>
      <c r="T292" s="19"/>
      <c r="U292" s="19"/>
      <c r="V292" s="19"/>
      <c r="W292" s="19" t="s">
        <v>41</v>
      </c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4" t="str">
        <f>VLOOKUP(B292,[1]Sheet1!$A$2:$F$294,6,FALSE)</f>
        <v>无</v>
      </c>
      <c r="AI292" s="14">
        <f>VLOOKUP(B292,[1]Sheet1!$A$2:$F$294,4,FALSE)</f>
        <v>1</v>
      </c>
      <c r="AJ292" s="14" t="str">
        <f>VLOOKUP(B292,[1]Sheet1!$A$2:$F$294,5,FALSE)</f>
        <v>单片机与接口技术</v>
      </c>
    </row>
    <row r="293" s="2" customFormat="1" ht="14.25" spans="1:36">
      <c r="A293" s="17">
        <v>292</v>
      </c>
      <c r="B293" s="12">
        <v>22403000537</v>
      </c>
      <c r="C293" s="38" t="s">
        <v>1419</v>
      </c>
      <c r="D293" s="39" t="s">
        <v>1420</v>
      </c>
      <c r="E293" s="41" t="s">
        <v>1421</v>
      </c>
      <c r="F293" s="14">
        <v>13873936746</v>
      </c>
      <c r="G293" s="15"/>
      <c r="H293" s="15">
        <v>20040904</v>
      </c>
      <c r="I293" s="14" t="s">
        <v>58</v>
      </c>
      <c r="J293" s="15"/>
      <c r="K293" s="16"/>
      <c r="L293" s="14"/>
      <c r="M293" s="14"/>
      <c r="N293" s="14"/>
      <c r="O293" s="15"/>
      <c r="P293" s="15" t="s">
        <v>487</v>
      </c>
      <c r="Q293" s="15"/>
      <c r="R293" s="15" t="s">
        <v>63</v>
      </c>
      <c r="S293" s="15" t="s">
        <v>1422</v>
      </c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4" t="str">
        <f>VLOOKUP(B293,[1]Sheet1!$A$2:$F$294,6,FALSE)</f>
        <v>无</v>
      </c>
      <c r="AI293" s="14" t="s">
        <v>1423</v>
      </c>
      <c r="AJ293" s="14" t="str">
        <f>VLOOKUP(B293,[1]Sheet1!$A$2:$F$294,5,FALSE)</f>
        <v>计算机操作系统</v>
      </c>
    </row>
    <row r="294" s="2" customFormat="1" ht="14.25" spans="1:36">
      <c r="A294" s="17">
        <v>293</v>
      </c>
      <c r="B294" s="12">
        <v>21403000225</v>
      </c>
      <c r="C294" s="38" t="s">
        <v>1424</v>
      </c>
      <c r="D294" s="39" t="s">
        <v>1420</v>
      </c>
      <c r="E294" s="41" t="s">
        <v>1425</v>
      </c>
      <c r="F294" s="14">
        <v>15842820585</v>
      </c>
      <c r="G294" s="15"/>
      <c r="H294" s="15">
        <v>20020511</v>
      </c>
      <c r="I294" s="14" t="s">
        <v>58</v>
      </c>
      <c r="J294" s="15"/>
      <c r="K294" s="16"/>
      <c r="L294" s="14"/>
      <c r="M294" s="14"/>
      <c r="N294" s="14"/>
      <c r="O294" s="15"/>
      <c r="P294" s="15" t="s">
        <v>41</v>
      </c>
      <c r="Q294" s="15"/>
      <c r="R294" s="15" t="s">
        <v>63</v>
      </c>
      <c r="S294" s="15" t="s">
        <v>1426</v>
      </c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4" t="str">
        <f>VLOOKUP(B294,[1]Sheet1!$A$2:$F$294,6,FALSE)</f>
        <v>无</v>
      </c>
      <c r="AI294" s="14" t="s">
        <v>1423</v>
      </c>
      <c r="AJ294" s="14" t="str">
        <f>VLOOKUP(B294,[1]Sheet1!$A$2:$F$294,5,FALSE)</f>
        <v>无</v>
      </c>
    </row>
    <row r="295" spans="1:36">
      <c r="N295" s="40"/>
      <c r="AI295" s="2"/>
    </row>
    <row r="296" spans="1:36">
      <c r="N296" s="40"/>
      <c r="AI296" s="2"/>
    </row>
    <row r="297" spans="1:36">
      <c r="N297" s="40"/>
      <c r="AI297" s="2"/>
    </row>
    <row r="298" spans="1:36">
      <c r="N298" s="40"/>
      <c r="AI298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24" workbookViewId="0">
      <selection activeCell="A24" sqref="A$1:B$1048576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:D9"/>
    </sheetView>
  </sheetViews>
  <sheetFormatPr defaultColWidth="9" defaultRowHeight="13.5"/>
  <cols>
    <col min="1" max="1" width="13" customWidth="1"/>
  </cols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仝晓蕾</cp:lastModifiedBy>
  <dcterms:created xsi:type="dcterms:W3CDTF">2023-05-12T11:15:00Z</dcterms:created>
  <dcterms:modified xsi:type="dcterms:W3CDTF">2025-12-22T10:36:34Z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D788B5E490054B27A4913271825944BC_13</vt:lpwstr>
  </property>
  <property fmtid="{D5CDD505-2E9C-101B-9397-08002B2CF9AE}" pid="4" name="CalculationRule">
    <vt:i4>0</vt:i4>
  </property>
</Properties>
</file>